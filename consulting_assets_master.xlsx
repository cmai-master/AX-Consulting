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A_Methodology" sheetId="2" state="visible" r:id="rId4"/>
    <sheet name="B_Templates" sheetId="3" state="visible" r:id="rId5"/>
    <sheet name="C_Playbooks" sheetId="4" state="visible" r:id="rId6"/>
    <sheet name="D_Knowledge" sheetId="5" state="visible" r:id="rId7"/>
    <sheet name="E_Sales" sheetId="6" state="visible" r:id="rId8"/>
    <sheet name="F_Operations" sheetId="7" state="visible" r:id="rId9"/>
    <sheet name="G_People" sheetId="8" state="visible" r:id="rId10"/>
    <sheet name="H_Systems" sheetId="9" state="visible" r:id="rId11"/>
    <sheet name="⚡ Implement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<sst xmlns="http://schemas.openxmlformats.org/spreadsheetml/2006/main" count="1523" uniqueCount="688">
  <si>
    <t xml:space="preserve">Asset Category</t>
  </si>
  <si>
    <t xml:space="preserve">Total Items</t>
  </si>
  <si>
    <t xml:space="preserve">High Priority</t>
  </si>
  <si>
    <t xml:space="preserve">Medium Priority</t>
  </si>
  <si>
    <t xml:space="preserve">Low Priority</t>
  </si>
  <si>
    <t xml:space="preserve">Completed</t>
  </si>
  <si>
    <t xml:space="preserve">In Progress</t>
  </si>
  <si>
    <t xml:space="preserve">Not Started</t>
  </si>
  <si>
    <t xml:space="preserve">Completion %</t>
  </si>
  <si>
    <t xml:space="preserve">Notes</t>
  </si>
  <si>
    <t xml:space="preserve">A. Methodology &amp; Frameworks</t>
  </si>
  <si>
    <t xml:space="preserve">B. Templates &amp; Tools</t>
  </si>
  <si>
    <t xml:space="preserve">C. Playbooks &amp; Guides</t>
  </si>
  <si>
    <t xml:space="preserve">D. Knowledge Assets</t>
  </si>
  <si>
    <t xml:space="preserve">E. Sales &amp; Marketing</t>
  </si>
  <si>
    <t xml:space="preserve">F. Operations &amp; Process</t>
  </si>
  <si>
    <t xml:space="preserve">G. People &amp; Capabilities</t>
  </si>
  <si>
    <t xml:space="preserve">H. Supporting Systems</t>
  </si>
  <si>
    <t xml:space="preserve">TOTAL</t>
  </si>
  <si>
    <t xml:space="preserve">ID</t>
  </si>
  <si>
    <t xml:space="preserve">Category</t>
  </si>
  <si>
    <t xml:space="preserve">Sub-Category</t>
  </si>
  <si>
    <t xml:space="preserve">Asset Name</t>
  </si>
  <si>
    <t xml:space="preserve">Description</t>
  </si>
  <si>
    <t xml:space="preserve">Key Contents Summary</t>
  </si>
  <si>
    <t xml:space="preserve">Priority</t>
  </si>
  <si>
    <t xml:space="preserve">Status</t>
  </si>
  <si>
    <t xml:space="preserve">Owner</t>
  </si>
  <si>
    <t xml:space="preserve">Est. Hours</t>
  </si>
  <si>
    <t xml:space="preserve">Target Date</t>
  </si>
  <si>
    <t xml:space="preserve">Related Service Pack</t>
  </si>
  <si>
    <t xml:space="preserve">A1-1</t>
  </si>
  <si>
    <t xml:space="preserve">A1. Core Methodology</t>
  </si>
  <si>
    <t xml:space="preserve">5C Framework</t>
  </si>
  <si>
    <t xml:space="preserve">Proprietary framework for Enterprise AI Platform</t>
  </si>
  <si>
    <r>
      <rPr>
        <sz val="11"/>
        <color theme="1"/>
        <rFont val="Noto Sans CJK SC"/>
        <family val="2"/>
      </rPr>
      <t xml:space="preserve">철학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개념</t>
    </r>
    <r>
      <rPr>
        <sz val="11"/>
        <color theme="1"/>
        <rFont val="Calibri"/>
        <family val="2"/>
        <charset val="1"/>
      </rPr>
      <t xml:space="preserve">, 5</t>
    </r>
    <r>
      <rPr>
        <sz val="11"/>
        <color theme="1"/>
        <rFont val="Noto Sans CJK SC"/>
        <family val="2"/>
      </rPr>
      <t xml:space="preserve">개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별 상세정의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적용 시나리오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성공지표</t>
    </r>
  </si>
  <si>
    <t xml:space="preserve">High</t>
  </si>
  <si>
    <t xml:space="preserve">40</t>
  </si>
  <si>
    <t xml:space="preserve">Enterprise AI Platform</t>
  </si>
  <si>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자산</t>
    </r>
  </si>
  <si>
    <t xml:space="preserve">A1-2</t>
  </si>
  <si>
    <t xml:space="preserve">Context Engineering</t>
  </si>
  <si>
    <t xml:space="preserve">Context Engineering Methodology</t>
  </si>
  <si>
    <t xml:space="preserve">Systematic approach to building semantic layers and knowledge graphs</t>
  </si>
  <si>
    <r>
      <rPr>
        <sz val="11"/>
        <color theme="1"/>
        <rFont val="Calibri"/>
        <family val="2"/>
        <charset val="1"/>
      </rPr>
      <t xml:space="preserve">Context </t>
    </r>
    <r>
      <rPr>
        <sz val="11"/>
        <color theme="1"/>
        <rFont val="Noto Sans CJK SC"/>
        <family val="2"/>
      </rPr>
      <t xml:space="preserve">정의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분류</t>
    </r>
    <r>
      <rPr>
        <sz val="11"/>
        <color theme="1"/>
        <rFont val="Calibri"/>
        <family val="2"/>
        <charset val="1"/>
      </rPr>
      <t xml:space="preserve">, Semantic Layer </t>
    </r>
    <r>
      <rPr>
        <sz val="11"/>
        <color theme="1"/>
        <rFont val="Noto Sans CJK SC"/>
        <family val="2"/>
      </rPr>
      <t xml:space="preserve">방법론</t>
    </r>
    <r>
      <rPr>
        <sz val="11"/>
        <color theme="1"/>
        <rFont val="Calibri"/>
        <family val="2"/>
        <charset val="1"/>
      </rPr>
      <t xml:space="preserve">, Ontology </t>
    </r>
    <r>
      <rPr>
        <sz val="11"/>
        <color theme="1"/>
        <rFont val="Noto Sans CJK SC"/>
        <family val="2"/>
      </rPr>
      <t xml:space="preserve">모델링</t>
    </r>
    <r>
      <rPr>
        <sz val="11"/>
        <color theme="1"/>
        <rFont val="Calibri"/>
        <family val="2"/>
        <charset val="1"/>
      </rPr>
      <t xml:space="preserve">, Lifecycle </t>
    </r>
    <r>
      <rPr>
        <sz val="11"/>
        <color theme="1"/>
        <rFont val="Noto Sans CJK SC"/>
        <family val="2"/>
      </rPr>
      <t xml:space="preserve">관리</t>
    </r>
  </si>
  <si>
    <t xml:space="preserve">32</t>
  </si>
  <si>
    <t xml:space="preserve">A1-3</t>
  </si>
  <si>
    <t xml:space="preserve">Agent Orchestration</t>
  </si>
  <si>
    <t xml:space="preserve">Agent Orchestration Framework</t>
  </si>
  <si>
    <t xml:space="preserve">Multi-agent architecture patterns and coordination strategies</t>
  </si>
  <si>
    <r>
      <rPr>
        <sz val="11"/>
        <color theme="1"/>
        <rFont val="Calibri"/>
        <family val="2"/>
        <charset val="1"/>
      </rPr>
      <t xml:space="preserve">Architecture </t>
    </r>
    <r>
      <rPr>
        <sz val="11"/>
        <color theme="1"/>
        <rFont val="Noto Sans CJK SC"/>
        <family val="2"/>
      </rPr>
      <t xml:space="preserve">패턴</t>
    </r>
    <r>
      <rPr>
        <sz val="11"/>
        <color theme="1"/>
        <rFont val="Calibri"/>
        <family val="2"/>
        <charset val="1"/>
      </rPr>
      <t xml:space="preserve">, Communication Protocol, Memory Architecture, Tool Integration</t>
    </r>
  </si>
  <si>
    <t xml:space="preserve">24</t>
  </si>
  <si>
    <t xml:space="preserve">A2-1</t>
  </si>
  <si>
    <t xml:space="preserve">A2. Assessment Frameworks</t>
  </si>
  <si>
    <t xml:space="preserve">Maturity Model</t>
  </si>
  <si>
    <t xml:space="preserve">AI Maturity Model</t>
  </si>
  <si>
    <t xml:space="preserve">5-level maturity assessment framework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</si>
  <si>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단계 정의</t>
    </r>
    <r>
      <rPr>
        <sz val="11"/>
        <color theme="1"/>
        <rFont val="Calibri"/>
        <family val="2"/>
        <charset val="1"/>
      </rPr>
      <t xml:space="preserve">, 6</t>
    </r>
    <r>
      <rPr>
        <sz val="11"/>
        <color theme="1"/>
        <rFont val="Noto Sans CJK SC"/>
        <family val="2"/>
      </rPr>
      <t xml:space="preserve">개 차원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차원별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레벨별 특성 매트릭스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벤치마크 데이터</t>
    </r>
  </si>
  <si>
    <t xml:space="preserve">16</t>
  </si>
  <si>
    <t xml:space="preserve">AI Strategy &amp; Readiness</t>
  </si>
  <si>
    <t xml:space="preserve">A2-2</t>
  </si>
  <si>
    <t xml:space="preserve">Use Case Priority</t>
  </si>
  <si>
    <t xml:space="preserve">Use Case Prioritization Framework</t>
  </si>
  <si>
    <t xml:space="preserve">Framework for evaluating and prioritizing AI use cases</t>
  </si>
  <si>
    <r>
      <rPr>
        <sz val="11"/>
        <color theme="1"/>
        <rFont val="Calibri"/>
        <family val="2"/>
        <charset val="1"/>
      </rPr>
      <t xml:space="preserve">Prioritization Criteria, </t>
    </r>
    <r>
      <rPr>
        <sz val="11"/>
        <color theme="1"/>
        <rFont val="Noto Sans CJK SC"/>
        <family val="2"/>
      </rPr>
      <t xml:space="preserve">측정방법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매트릭스 해석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분류체계</t>
    </r>
  </si>
  <si>
    <t xml:space="preserve">12</t>
  </si>
  <si>
    <t xml:space="preserve">A2-3</t>
  </si>
  <si>
    <t xml:space="preserve">Risk Assessment</t>
  </si>
  <si>
    <t xml:space="preserve">Risk Assessment Framework</t>
  </si>
  <si>
    <t xml:space="preserve">Comprehensive AI risk identification and evaluation</t>
  </si>
  <si>
    <r>
      <rPr>
        <sz val="11"/>
        <color theme="1"/>
        <rFont val="Calibri"/>
        <family val="2"/>
        <charset val="1"/>
      </rPr>
      <t xml:space="preserve">Risk Taxonomy, Likelihood×Impact </t>
    </r>
    <r>
      <rPr>
        <sz val="11"/>
        <color theme="1"/>
        <rFont val="Noto Sans CJK SC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, Scoring, Heat Map, Mitigation Strategy</t>
    </r>
  </si>
  <si>
    <t xml:space="preserve">Medium</t>
  </si>
  <si>
    <t xml:space="preserve">AI Risk &amp; Compliance</t>
  </si>
  <si>
    <t xml:space="preserve">A3-1</t>
  </si>
  <si>
    <t xml:space="preserve">A3. Design Frameworks</t>
  </si>
  <si>
    <t xml:space="preserve">Platform Architecture</t>
  </si>
  <si>
    <t xml:space="preserve">Enterprise AI Platform Reference Architecture</t>
  </si>
  <si>
    <t xml:space="preserve">Standard architecture for enterprise AI platforms</t>
  </si>
  <si>
    <r>
      <rPr>
        <sz val="11"/>
        <color theme="1"/>
        <rFont val="Noto Sans CJK SC"/>
        <family val="2"/>
      </rPr>
      <t xml:space="preserve">계층별 아키텍처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필수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선택 컴포넌트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인터페이스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배포모델</t>
    </r>
    <r>
      <rPr>
        <sz val="11"/>
        <color theme="1"/>
        <rFont val="Calibri"/>
        <family val="2"/>
        <charset val="1"/>
      </rPr>
      <t xml:space="preserve">, Security Layer</t>
    </r>
  </si>
  <si>
    <t xml:space="preserve">A3-2</t>
  </si>
  <si>
    <t xml:space="preserve">MLOps</t>
  </si>
  <si>
    <t xml:space="preserve">MLOps Reference Architecture</t>
  </si>
  <si>
    <t xml:space="preserve">End-to-end MLOps pipeline design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</si>
  <si>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구조</t>
    </r>
    <r>
      <rPr>
        <sz val="11"/>
        <color theme="1"/>
        <rFont val="Calibri"/>
        <family val="2"/>
        <charset val="1"/>
      </rPr>
      <t xml:space="preserve">, 6</t>
    </r>
    <r>
      <rPr>
        <sz val="11"/>
        <color theme="1"/>
        <rFont val="Noto Sans CJK SC"/>
        <family val="2"/>
      </rPr>
      <t xml:space="preserve">단계 프로세스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도구 옵션</t>
    </r>
    <r>
      <rPr>
        <sz val="11"/>
        <color theme="1"/>
        <rFont val="Calibri"/>
        <family val="2"/>
        <charset val="1"/>
      </rPr>
      <t xml:space="preserve">, CI/CD </t>
    </r>
    <r>
      <rPr>
        <sz val="11"/>
        <color theme="1"/>
        <rFont val="Noto Sans CJK SC"/>
        <family val="2"/>
      </rPr>
      <t xml:space="preserve">패턴</t>
    </r>
    <r>
      <rPr>
        <sz val="11"/>
        <color theme="1"/>
        <rFont val="Calibri"/>
        <family val="2"/>
        <charset val="1"/>
      </rPr>
      <t xml:space="preserve">, Monitoring Stack</t>
    </r>
  </si>
  <si>
    <t xml:space="preserve">20</t>
  </si>
  <si>
    <t xml:space="preserve">A3-3</t>
  </si>
  <si>
    <t xml:space="preserve">Operating Model</t>
  </si>
  <si>
    <t xml:space="preserve">Operating Model Patterns</t>
  </si>
  <si>
    <t xml:space="preserve">Organization design patterns for AI CoE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</si>
  <si>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가지 조직 모델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거버넌스 구조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의사결정 권한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적용조건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전환경로</t>
    </r>
  </si>
  <si>
    <t xml:space="preserve">AI Operating Model</t>
  </si>
  <si>
    <t xml:space="preserve">A4-1</t>
  </si>
  <si>
    <t xml:space="preserve">A4. Implementation Methodology</t>
  </si>
  <si>
    <t xml:space="preserve">RAG Design</t>
  </si>
  <si>
    <t xml:space="preserve">RAG System Design Methodology</t>
  </si>
  <si>
    <t xml:space="preserve">Comprehensive methodology for RAG system development</t>
  </si>
  <si>
    <r>
      <rPr>
        <sz val="11"/>
        <color theme="1"/>
        <rFont val="Calibri"/>
        <family val="2"/>
        <charset val="1"/>
      </rPr>
      <t xml:space="preserve">Maturity Model, Chunking Strategy, Embedding </t>
    </r>
    <r>
      <rPr>
        <sz val="11"/>
        <color theme="1"/>
        <rFont val="Noto Sans CJK SC"/>
        <family val="2"/>
      </rPr>
      <t xml:space="preserve">선정</t>
    </r>
    <r>
      <rPr>
        <sz val="11"/>
        <color theme="1"/>
        <rFont val="Calibri"/>
        <family val="2"/>
        <charset val="1"/>
      </rPr>
      <t xml:space="preserve">, Retrieval Strategy, Design Patterns</t>
    </r>
  </si>
  <si>
    <t xml:space="preserve">AI Solution Accelerator</t>
  </si>
  <si>
    <t xml:space="preserve">A4-2</t>
  </si>
  <si>
    <t xml:space="preserve">Prompt Engineering</t>
  </si>
  <si>
    <t xml:space="preserve">Prompt Engineering Framework</t>
  </si>
  <si>
    <t xml:space="preserve">Systematic approach to prompt design and optimization</t>
  </si>
  <si>
    <r>
      <rPr>
        <sz val="11"/>
        <color theme="1"/>
        <rFont val="Noto Sans CJK SC"/>
        <family val="2"/>
      </rPr>
      <t xml:space="preserve">프롬프트 구조</t>
    </r>
    <r>
      <rPr>
        <sz val="11"/>
        <color theme="1"/>
        <rFont val="Calibri"/>
        <family val="2"/>
        <charset val="1"/>
      </rPr>
      <t xml:space="preserve">, Pattern Catalog, Few-shot </t>
    </r>
    <r>
      <rPr>
        <sz val="11"/>
        <color theme="1"/>
        <rFont val="Noto Sans CJK SC"/>
        <family val="2"/>
      </rPr>
      <t xml:space="preserve">가이드</t>
    </r>
    <r>
      <rPr>
        <sz val="11"/>
        <color theme="1"/>
        <rFont val="Calibri"/>
        <family val="2"/>
        <charset val="1"/>
      </rPr>
      <t xml:space="preserve">, CoT </t>
    </r>
    <r>
      <rPr>
        <sz val="11"/>
        <color theme="1"/>
        <rFont val="Noto Sans CJK SC"/>
        <family val="2"/>
      </rPr>
      <t xml:space="preserve">원칙</t>
    </r>
    <r>
      <rPr>
        <sz val="11"/>
        <color theme="1"/>
        <rFont val="Calibri"/>
        <family val="2"/>
        <charset val="1"/>
      </rPr>
      <t xml:space="preserve">, Optimization Process</t>
    </r>
  </si>
  <si>
    <t xml:space="preserve">A4-3</t>
  </si>
  <si>
    <t xml:space="preserve">Model Governance</t>
  </si>
  <si>
    <t xml:space="preserve">Model Governance Methodology</t>
  </si>
  <si>
    <t xml:space="preserve">Lifecycle management for AI models</t>
  </si>
  <si>
    <r>
      <rPr>
        <sz val="11"/>
        <color theme="1"/>
        <rFont val="Calibri"/>
        <family val="2"/>
        <charset val="1"/>
      </rPr>
      <t xml:space="preserve">Lifecycle </t>
    </r>
    <r>
      <rPr>
        <sz val="11"/>
        <color theme="1"/>
        <rFont val="Noto Sans CJK SC"/>
        <family val="2"/>
      </rPr>
      <t xml:space="preserve">정의</t>
    </r>
    <r>
      <rPr>
        <sz val="11"/>
        <color theme="1"/>
        <rFont val="Calibri"/>
        <family val="2"/>
        <charset val="1"/>
      </rPr>
      <t xml:space="preserve">, Stage-gate </t>
    </r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Calibri"/>
        <family val="2"/>
        <charset val="1"/>
      </rPr>
      <t xml:space="preserve">, Model Card </t>
    </r>
    <r>
      <rPr>
        <sz val="11"/>
        <color theme="1"/>
        <rFont val="Noto Sans CJK SC"/>
        <family val="2"/>
      </rPr>
      <t xml:space="preserve">표준</t>
    </r>
    <r>
      <rPr>
        <sz val="11"/>
        <color theme="1"/>
        <rFont val="Calibri"/>
        <family val="2"/>
        <charset val="1"/>
      </rPr>
      <t xml:space="preserve">, Approval Workflow, Drift Detection</t>
    </r>
  </si>
  <si>
    <t xml:space="preserve">A5-1</t>
  </si>
  <si>
    <t xml:space="preserve">A5. Measurement Frameworks</t>
  </si>
  <si>
    <t xml:space="preserve">ROI Model</t>
  </si>
  <si>
    <t xml:space="preserve">AI Project ROI Model</t>
  </si>
  <si>
    <t xml:space="preserve">Framework for calculating AI project returns</t>
  </si>
  <si>
    <r>
      <rPr>
        <sz val="11"/>
        <color theme="1"/>
        <rFont val="Noto Sans CJK SC"/>
        <family val="2"/>
      </rPr>
      <t xml:space="preserve">비용구조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효과측정 방법</t>
    </r>
    <r>
      <rPr>
        <sz val="11"/>
        <color theme="1"/>
        <rFont val="Calibri"/>
        <family val="2"/>
        <charset val="1"/>
      </rPr>
      <t xml:space="preserve">, ROI </t>
    </r>
    <r>
      <rPr>
        <sz val="11"/>
        <color theme="1"/>
        <rFont val="Noto Sans CJK SC"/>
        <family val="2"/>
      </rPr>
      <t xml:space="preserve">계산공식</t>
    </r>
    <r>
      <rPr>
        <sz val="11"/>
        <color theme="1"/>
        <rFont val="Calibri"/>
        <family val="2"/>
        <charset val="1"/>
      </rPr>
      <t xml:space="preserve">, Payback Period, </t>
    </r>
    <r>
      <rPr>
        <sz val="11"/>
        <color theme="1"/>
        <rFont val="Noto Sans CJK SC"/>
        <family val="2"/>
      </rPr>
      <t xml:space="preserve">민감도 분석</t>
    </r>
  </si>
  <si>
    <t xml:space="preserve">A5-2</t>
  </si>
  <si>
    <t xml:space="preserve">Evaluation</t>
  </si>
  <si>
    <t xml:space="preserve">AI System Evaluation Framework</t>
  </si>
  <si>
    <t xml:space="preserve">Comprehensive evaluation methodology for AI systems</t>
  </si>
  <si>
    <r>
      <rPr>
        <sz val="11"/>
        <color theme="1"/>
        <rFont val="Noto Sans CJK SC"/>
        <family val="2"/>
      </rPr>
      <t xml:space="preserve">평가차원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차원별 메트릭</t>
    </r>
    <r>
      <rPr>
        <sz val="11"/>
        <color theme="1"/>
        <rFont val="Calibri"/>
        <family val="2"/>
        <charset val="1"/>
      </rPr>
      <t xml:space="preserve">, Test Set </t>
    </r>
    <r>
      <rPr>
        <sz val="11"/>
        <color theme="1"/>
        <rFont val="Noto Sans CJK SC"/>
        <family val="2"/>
      </rPr>
      <t xml:space="preserve">구성</t>
    </r>
    <r>
      <rPr>
        <sz val="11"/>
        <color theme="1"/>
        <rFont val="Calibri"/>
        <family val="2"/>
        <charset val="1"/>
      </rPr>
      <t xml:space="preserve">, Benchmark </t>
    </r>
    <r>
      <rPr>
        <sz val="11"/>
        <color theme="1"/>
        <rFont val="Noto Sans CJK SC"/>
        <family val="2"/>
      </rPr>
      <t xml:space="preserve">프로토콜</t>
    </r>
    <r>
      <rPr>
        <sz val="11"/>
        <color theme="1"/>
        <rFont val="Calibri"/>
        <family val="2"/>
        <charset val="1"/>
      </rPr>
      <t xml:space="preserve">, Human Evaluation</t>
    </r>
  </si>
  <si>
    <t xml:space="preserve">B1-1</t>
  </si>
  <si>
    <t xml:space="preserve">B1. Assessment Templates</t>
  </si>
  <si>
    <t xml:space="preserve">Maturity Assessment</t>
  </si>
  <si>
    <t xml:space="preserve">AI Maturity Assessment Questionnaire</t>
  </si>
  <si>
    <t xml:space="preserve">100-150 questions for comprehensive maturity evaluation</t>
  </si>
  <si>
    <r>
      <rPr>
        <sz val="11"/>
        <color theme="1"/>
        <rFont val="Noto Sans CJK SC"/>
        <family val="2"/>
      </rPr>
      <t xml:space="preserve">차원별 질문</t>
    </r>
    <r>
      <rPr>
        <sz val="11"/>
        <color theme="1"/>
        <rFont val="Calibri"/>
        <family val="2"/>
        <charset val="1"/>
      </rPr>
      <t xml:space="preserve">, 5</t>
    </r>
    <r>
      <rPr>
        <sz val="11"/>
        <color theme="1"/>
        <rFont val="Noto Sans CJK SC"/>
        <family val="2"/>
      </rPr>
      <t xml:space="preserve">점 척도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자동 스코어링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시각화 차트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벤치마크 비교</t>
    </r>
  </si>
  <si>
    <t xml:space="preserve">B1-2</t>
  </si>
  <si>
    <t xml:space="preserve">Interview Guides</t>
  </si>
  <si>
    <t xml:space="preserve">Interview Guide Set</t>
  </si>
  <si>
    <t xml:space="preserve">Structured interview guides for stakeholders</t>
  </si>
  <si>
    <r>
      <rPr>
        <sz val="11"/>
        <color theme="1"/>
        <rFont val="Noto Sans CJK SC"/>
        <family val="2"/>
      </rPr>
      <t xml:space="preserve">경영진</t>
    </r>
    <r>
      <rPr>
        <sz val="11"/>
        <color theme="1"/>
        <rFont val="Calibri"/>
        <family val="2"/>
        <charset val="1"/>
      </rPr>
      <t xml:space="preserve">/CIO/</t>
    </r>
    <r>
      <rPr>
        <sz val="11"/>
        <color theme="1"/>
        <rFont val="Noto Sans CJK SC"/>
        <family val="2"/>
      </rPr>
      <t xml:space="preserve">사업부장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실무자용 질문</t>
    </r>
    <r>
      <rPr>
        <sz val="11"/>
        <color theme="1"/>
        <rFont val="Calibri"/>
        <family val="2"/>
        <charset val="1"/>
      </rPr>
      <t xml:space="preserve">, Follow-up </t>
    </r>
    <r>
      <rPr>
        <sz val="11"/>
        <color theme="1"/>
        <rFont val="Noto Sans CJK SC"/>
        <family val="2"/>
      </rPr>
      <t xml:space="preserve">가이드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응답 기록 템플릿</t>
    </r>
  </si>
  <si>
    <t xml:space="preserve">B1-3</t>
  </si>
  <si>
    <t xml:space="preserve">Current State</t>
  </si>
  <si>
    <t xml:space="preserve">Current State Assessment Template</t>
  </si>
  <si>
    <t xml:space="preserve">Template for capturing current state inventory</t>
  </si>
  <si>
    <r>
      <rPr>
        <sz val="11"/>
        <color theme="1"/>
        <rFont val="Noto Sans CJK SC"/>
        <family val="2"/>
      </rPr>
      <t xml:space="preserve">시스템 인벤토리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데이터 자산 평가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기술 스택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조직구조</t>
    </r>
    <r>
      <rPr>
        <sz val="11"/>
        <color theme="1"/>
        <rFont val="Calibri"/>
        <family val="2"/>
        <charset val="1"/>
      </rPr>
      <t xml:space="preserve">, Gap Analysis</t>
    </r>
  </si>
  <si>
    <t xml:space="preserve">8</t>
  </si>
  <si>
    <t xml:space="preserve">B2-1</t>
  </si>
  <si>
    <t xml:space="preserve">B2. Strategy Templates</t>
  </si>
  <si>
    <t xml:space="preserve">Use Case Canvas</t>
  </si>
  <si>
    <t xml:space="preserve">1-page canvas for use case definition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</si>
  <si>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개 섹션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작성 가이드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예시 </t>
    </r>
    <r>
      <rPr>
        <sz val="11"/>
        <color theme="1"/>
        <rFont val="Calibri"/>
        <family val="2"/>
        <charset val="1"/>
      </rPr>
      <t xml:space="preserve">3-5</t>
    </r>
    <r>
      <rPr>
        <sz val="11"/>
        <color theme="1"/>
        <rFont val="Noto Sans CJK SC"/>
        <family val="2"/>
      </rPr>
      <t xml:space="preserve">개</t>
    </r>
  </si>
  <si>
    <t xml:space="preserve">6</t>
  </si>
  <si>
    <t xml:space="preserve">B2-2</t>
  </si>
  <si>
    <t xml:space="preserve">Prioritization</t>
  </si>
  <si>
    <t xml:space="preserve">Use Case Prioritization Scorecard</t>
  </si>
  <si>
    <t xml:space="preserve">Scoring template for use case evaluation</t>
  </si>
  <si>
    <r>
      <rPr>
        <sz val="11"/>
        <color theme="1"/>
        <rFont val="Noto Sans CJK SC"/>
        <family val="2"/>
      </rPr>
      <t xml:space="preserve">평가기준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가중치 설정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자동 계산</t>
    </r>
    <r>
      <rPr>
        <sz val="11"/>
        <color theme="1"/>
        <rFont val="Calibri"/>
        <family val="2"/>
        <charset val="1"/>
      </rPr>
      <t xml:space="preserve">, 2x2 </t>
    </r>
    <r>
      <rPr>
        <sz val="11"/>
        <color theme="1"/>
        <rFont val="Noto Sans CJK SC"/>
        <family val="2"/>
      </rPr>
      <t xml:space="preserve">매트릭스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우선순위 리스트</t>
    </r>
  </si>
  <si>
    <t xml:space="preserve">B2-3</t>
  </si>
  <si>
    <t xml:space="preserve">Roadmap</t>
  </si>
  <si>
    <t xml:space="preserve">AI Transformation Roadmap Template</t>
  </si>
  <si>
    <t xml:space="preserve">Visual roadmap template for 3-5 year transformation</t>
  </si>
  <si>
    <r>
      <rPr>
        <sz val="11"/>
        <color theme="1"/>
        <rFont val="Noto Sans CJK SC"/>
        <family val="2"/>
      </rPr>
      <t xml:space="preserve">분기별 타임라인</t>
    </r>
    <r>
      <rPr>
        <sz val="11"/>
        <color theme="1"/>
        <rFont val="Calibri"/>
        <family val="2"/>
        <charset val="1"/>
      </rPr>
      <t xml:space="preserve">, Swimlane, </t>
    </r>
    <r>
      <rPr>
        <sz val="11"/>
        <color theme="1"/>
        <rFont val="Noto Sans CJK SC"/>
        <family val="2"/>
      </rPr>
      <t xml:space="preserve">마일스톤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의존성</t>
    </r>
    <r>
      <rPr>
        <sz val="11"/>
        <color theme="1"/>
        <rFont val="Calibri"/>
        <family val="2"/>
        <charset val="1"/>
      </rPr>
      <t xml:space="preserve">, Wave </t>
    </r>
    <r>
      <rPr>
        <sz val="11"/>
        <color theme="1"/>
        <rFont val="Noto Sans CJK SC"/>
        <family val="2"/>
      </rPr>
      <t xml:space="preserve">구분</t>
    </r>
  </si>
  <si>
    <t xml:space="preserve">B2-4</t>
  </si>
  <si>
    <t xml:space="preserve">Investment Plan</t>
  </si>
  <si>
    <t xml:space="preserve">Investment Plan &amp; Budget Template</t>
  </si>
  <si>
    <t xml:space="preserve">Budget planning and allocation template</t>
  </si>
  <si>
    <r>
      <rPr>
        <sz val="11"/>
        <color theme="1"/>
        <rFont val="Noto Sans CJK SC"/>
        <family val="2"/>
      </rPr>
      <t xml:space="preserve">비용항목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연도별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분기별 배분</t>
    </r>
    <r>
      <rPr>
        <sz val="11"/>
        <color theme="1"/>
        <rFont val="Calibri"/>
        <family val="2"/>
        <charset val="1"/>
      </rPr>
      <t xml:space="preserve">, Use case</t>
    </r>
    <r>
      <rPr>
        <sz val="11"/>
        <color theme="1"/>
        <rFont val="Noto Sans CJK SC"/>
        <family val="2"/>
      </rPr>
      <t xml:space="preserve">별 할당</t>
    </r>
    <r>
      <rPr>
        <sz val="11"/>
        <color theme="1"/>
        <rFont val="Calibri"/>
        <family val="2"/>
        <charset val="1"/>
      </rPr>
      <t xml:space="preserve">, ROI </t>
    </r>
    <r>
      <rPr>
        <sz val="11"/>
        <color theme="1"/>
        <rFont val="Noto Sans CJK SC"/>
        <family val="2"/>
      </rPr>
      <t xml:space="preserve">계산</t>
    </r>
  </si>
  <si>
    <t xml:space="preserve">B3-1</t>
  </si>
  <si>
    <t xml:space="preserve">B3. Design Templates</t>
  </si>
  <si>
    <t xml:space="preserve">ADR</t>
  </si>
  <si>
    <t xml:space="preserve">Architecture Decision Record (ADR)</t>
  </si>
  <si>
    <t xml:space="preserve">Template for documenting architecture decisions</t>
  </si>
  <si>
    <t xml:space="preserve">Context, Decision, Alternatives, Consequences, Status</t>
  </si>
  <si>
    <t xml:space="preserve">4</t>
  </si>
  <si>
    <t xml:space="preserve">B3-2</t>
  </si>
  <si>
    <t xml:space="preserve">Tech Assessment</t>
  </si>
  <si>
    <t xml:space="preserve">Technology Stack Assessment Matrix</t>
  </si>
  <si>
    <t xml:space="preserve">Comparison matrix for technology evaluation</t>
  </si>
  <si>
    <r>
      <rPr>
        <sz val="11"/>
        <color theme="1"/>
        <rFont val="Noto Sans CJK SC"/>
        <family val="2"/>
      </rPr>
      <t xml:space="preserve">비교 기술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도구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평가기준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스코어링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가중치 적용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추천 결과</t>
    </r>
  </si>
  <si>
    <t xml:space="preserve">B3-3</t>
  </si>
  <si>
    <t xml:space="preserve">Context Model</t>
  </si>
  <si>
    <t xml:space="preserve">Context Model Canvas</t>
  </si>
  <si>
    <t xml:space="preserve">Canvas for designing context management systems</t>
  </si>
  <si>
    <t xml:space="preserve">Semantic Layer, Entity/Relationship, Knowledge Source, Context Type, Retrieval Strategy</t>
  </si>
  <si>
    <t xml:space="preserve">B3-4</t>
  </si>
  <si>
    <t xml:space="preserve">Agent Design</t>
  </si>
  <si>
    <t xml:space="preserve">Agent Design Canvas</t>
  </si>
  <si>
    <t xml:space="preserve">Canvas for agent specification</t>
  </si>
  <si>
    <t xml:space="preserve">Profile, Input/Output, Tool Inventory, Memory, Interaction Pattern, Success Metrics</t>
  </si>
  <si>
    <t xml:space="preserve">B3-5</t>
  </si>
  <si>
    <t xml:space="preserve">API Spec</t>
  </si>
  <si>
    <t xml:space="preserve">API Specification Template</t>
  </si>
  <si>
    <t xml:space="preserve">Template for API documentation</t>
  </si>
  <si>
    <r>
      <rPr>
        <sz val="11"/>
        <color theme="1"/>
        <rFont val="Calibri"/>
        <family val="2"/>
        <charset val="1"/>
      </rPr>
      <t xml:space="preserve">Endpoint </t>
    </r>
    <r>
      <rPr>
        <sz val="11"/>
        <color theme="1"/>
        <rFont val="Noto Sans CJK SC"/>
        <family val="2"/>
      </rPr>
      <t xml:space="preserve">정의</t>
    </r>
    <r>
      <rPr>
        <sz val="11"/>
        <color theme="1"/>
        <rFont val="Calibri"/>
        <family val="2"/>
        <charset val="1"/>
      </rPr>
      <t xml:space="preserve">, Request/Response Schema, Authentication, Rate Limiting, Error Codes</t>
    </r>
  </si>
  <si>
    <t xml:space="preserve">B4-1</t>
  </si>
  <si>
    <t xml:space="preserve">B4. Implementation Templates</t>
  </si>
  <si>
    <t xml:space="preserve">Data Requirements</t>
  </si>
  <si>
    <t xml:space="preserve">Data Requirements Sheet</t>
  </si>
  <si>
    <t xml:space="preserve">Template for documenting data needs</t>
  </si>
  <si>
    <r>
      <rPr>
        <sz val="11"/>
        <color theme="1"/>
        <rFont val="Calibri"/>
        <family val="2"/>
        <charset val="1"/>
      </rPr>
      <t xml:space="preserve">Data Source, </t>
    </r>
    <r>
      <rPr>
        <sz val="11"/>
        <color theme="1"/>
        <rFont val="Noto Sans CJK SC"/>
        <family val="2"/>
      </rPr>
      <t xml:space="preserve">스키마</t>
    </r>
    <r>
      <rPr>
        <sz val="11"/>
        <color theme="1"/>
        <rFont val="Calibri"/>
        <family val="2"/>
        <charset val="1"/>
      </rPr>
      <t xml:space="preserve">, Volume/Velocity/Variety, Quality </t>
    </r>
    <r>
      <rPr>
        <sz val="11"/>
        <color theme="1"/>
        <rFont val="Noto Sans CJK SC"/>
        <family val="2"/>
      </rPr>
      <t xml:space="preserve">요구사항</t>
    </r>
    <r>
      <rPr>
        <sz val="11"/>
        <color theme="1"/>
        <rFont val="Calibri"/>
        <family val="2"/>
        <charset val="1"/>
      </rPr>
      <t xml:space="preserve">, Access Method</t>
    </r>
  </si>
  <si>
    <t xml:space="preserve">B4-2</t>
  </si>
  <si>
    <t xml:space="preserve">Test Cases</t>
  </si>
  <si>
    <t xml:space="preserve">Test Case Template</t>
  </si>
  <si>
    <t xml:space="preserve">Structured test case documentation</t>
  </si>
  <si>
    <t xml:space="preserve">Test ID, Category, Input/Output, Expected/Actual, Pass/Fail</t>
  </si>
  <si>
    <t xml:space="preserve">B4-3</t>
  </si>
  <si>
    <t xml:space="preserve">Evaluation Dataset</t>
  </si>
  <si>
    <t xml:space="preserve">Evaluation Dataset Template</t>
  </si>
  <si>
    <t xml:space="preserve">Template for creating evaluation datasets</t>
  </si>
  <si>
    <t xml:space="preserve">Query/Question, Ground Truth, Context, Difficulty, Category, Expected Performance</t>
  </si>
  <si>
    <t xml:space="preserve">B4-4</t>
  </si>
  <si>
    <t xml:space="preserve">Prompt Library</t>
  </si>
  <si>
    <t xml:space="preserve">Prompt Library Template</t>
  </si>
  <si>
    <t xml:space="preserve">Repository template for prompt management</t>
  </si>
  <si>
    <t xml:space="preserve">Prompt ID, Use Case, Text, Variables, Examples, Version History, Performance</t>
  </si>
  <si>
    <t xml:space="preserve">B5-1</t>
  </si>
  <si>
    <t xml:space="preserve">B5. Governance Templates</t>
  </si>
  <si>
    <t xml:space="preserve">Project Charter</t>
  </si>
  <si>
    <t xml:space="preserve">AI Project Charter</t>
  </si>
  <si>
    <t xml:space="preserve">Standard project charter template</t>
  </si>
  <si>
    <t xml:space="preserve">Business Objective, Success Criteria, Scope, Stakeholders(RACI), Timeline, Budget</t>
  </si>
  <si>
    <t xml:space="preserve">All</t>
  </si>
  <si>
    <t xml:space="preserve">B5-2</t>
  </si>
  <si>
    <t xml:space="preserve">RACI Matrix</t>
  </si>
  <si>
    <t xml:space="preserve">RACI Matrix Template</t>
  </si>
  <si>
    <t xml:space="preserve">Template for role assignment</t>
  </si>
  <si>
    <r>
      <rPr>
        <sz val="11"/>
        <color theme="1"/>
        <rFont val="Calibri"/>
        <family val="2"/>
        <charset val="1"/>
      </rPr>
      <t xml:space="preserve">Activity/Decision </t>
    </r>
    <r>
      <rPr>
        <sz val="11"/>
        <color theme="1"/>
        <rFont val="Noto Sans CJK SC"/>
        <family val="2"/>
      </rPr>
      <t xml:space="preserve">리스트</t>
    </r>
    <r>
      <rPr>
        <sz val="11"/>
        <color theme="1"/>
        <rFont val="Calibri"/>
        <family val="2"/>
        <charset val="1"/>
      </rPr>
      <t xml:space="preserve">, Role/Stakeholder, R/A/C/I </t>
    </r>
    <r>
      <rPr>
        <sz val="11"/>
        <color theme="1"/>
        <rFont val="Noto Sans CJK SC"/>
        <family val="2"/>
      </rPr>
      <t xml:space="preserve">할당</t>
    </r>
  </si>
  <si>
    <t xml:space="preserve">3</t>
  </si>
  <si>
    <t xml:space="preserve">B5-3</t>
  </si>
  <si>
    <t xml:space="preserve">Stage-gate</t>
  </si>
  <si>
    <t xml:space="preserve">Stage-gate Review Checklist</t>
  </si>
  <si>
    <t xml:space="preserve">Gate-by-gate review criteria</t>
  </si>
  <si>
    <r>
      <rPr>
        <sz val="11"/>
        <color theme="1"/>
        <rFont val="Noto Sans CJK SC"/>
        <family val="2"/>
      </rPr>
      <t xml:space="preserve">각 </t>
    </r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Noto Sans CJK SC"/>
        <family val="2"/>
      </rPr>
      <t xml:space="preserve">별 체크항목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통과기준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증빙문서</t>
    </r>
  </si>
  <si>
    <t xml:space="preserve">B5-4</t>
  </si>
  <si>
    <t xml:space="preserve">Policy Document</t>
  </si>
  <si>
    <t xml:space="preserve">Policy Document Template</t>
  </si>
  <si>
    <t xml:space="preserve">Standard policy documentation template</t>
  </si>
  <si>
    <t xml:space="preserve">Purpose/Scope, Roles, Policy Statements, Compliance, Review Cycle</t>
  </si>
  <si>
    <t xml:space="preserve">B5-5</t>
  </si>
  <si>
    <t xml:space="preserve">Model Card</t>
  </si>
  <si>
    <t xml:space="preserve">Model Card Template</t>
  </si>
  <si>
    <t xml:space="preserve">Template for model documentation</t>
  </si>
  <si>
    <t xml:space="preserve">Model Details, Intended Use, Training Data, Performance, Limitations, Bias Assessment</t>
  </si>
  <si>
    <t xml:space="preserve">B6-1</t>
  </si>
  <si>
    <t xml:space="preserve">B6. Risk Templates</t>
  </si>
  <si>
    <t xml:space="preserve">Risk Register</t>
  </si>
  <si>
    <t xml:space="preserve">Comprehensive risk tracking template</t>
  </si>
  <si>
    <t xml:space="preserve">Risk ID, Category, Description, Likelihood/Impact, Score, Mitigation, Owner, Status</t>
  </si>
  <si>
    <t xml:space="preserve">B6-2</t>
  </si>
  <si>
    <t xml:space="preserve">Risk Assessment Worksheet</t>
  </si>
  <si>
    <t xml:space="preserve">Detailed risk assessment template</t>
  </si>
  <si>
    <r>
      <rPr>
        <sz val="11"/>
        <color theme="1"/>
        <rFont val="Calibri"/>
        <family val="2"/>
        <charset val="1"/>
      </rPr>
      <t xml:space="preserve">System </t>
    </r>
    <r>
      <rPr>
        <sz val="11"/>
        <color theme="1"/>
        <rFont val="Noto Sans CJK SC"/>
        <family val="2"/>
      </rPr>
      <t xml:space="preserve">정보</t>
    </r>
    <r>
      <rPr>
        <sz val="11"/>
        <color theme="1"/>
        <rFont val="Calibri"/>
        <family val="2"/>
        <charset val="1"/>
      </rPr>
      <t xml:space="preserve">, Risk Scenario, L/I </t>
    </r>
    <r>
      <rPr>
        <sz val="11"/>
        <color theme="1"/>
        <rFont val="Noto Sans CJK SC"/>
        <family val="2"/>
      </rPr>
      <t xml:space="preserve">평가표</t>
    </r>
    <r>
      <rPr>
        <sz val="11"/>
        <color theme="1"/>
        <rFont val="Calibri"/>
        <family val="2"/>
        <charset val="1"/>
      </rPr>
      <t xml:space="preserve">, Control Effectiveness, Residual Risk</t>
    </r>
  </si>
  <si>
    <t xml:space="preserve">B6-3</t>
  </si>
  <si>
    <t xml:space="preserve">Compliance</t>
  </si>
  <si>
    <t xml:space="preserve">Compliance Checklist</t>
  </si>
  <si>
    <t xml:space="preserve">Regulatory compliance tracking</t>
  </si>
  <si>
    <r>
      <rPr>
        <sz val="11"/>
        <color theme="1"/>
        <rFont val="Noto Sans CJK SC"/>
        <family val="2"/>
      </rPr>
      <t xml:space="preserve">규제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표준 항목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요구사항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준수여부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증빙자료</t>
    </r>
    <r>
      <rPr>
        <sz val="11"/>
        <color theme="1"/>
        <rFont val="Calibri"/>
        <family val="2"/>
        <charset val="1"/>
      </rPr>
      <t xml:space="preserve">, Gap, </t>
    </r>
    <r>
      <rPr>
        <sz val="11"/>
        <color theme="1"/>
        <rFont val="Noto Sans CJK SC"/>
        <family val="2"/>
      </rPr>
      <t xml:space="preserve">시정조치</t>
    </r>
  </si>
  <si>
    <t xml:space="preserve">B6-4</t>
  </si>
  <si>
    <t xml:space="preserve">PIA</t>
  </si>
  <si>
    <t xml:space="preserve">Privacy Impact Assessment Template</t>
  </si>
  <si>
    <t xml:space="preserve">Privacy impact assessment template</t>
  </si>
  <si>
    <r>
      <rPr>
        <sz val="11"/>
        <color theme="1"/>
        <rFont val="Noto Sans CJK SC"/>
        <family val="2"/>
      </rPr>
      <t xml:space="preserve">시스템 개요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개인정보 처리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법적근거</t>
    </r>
    <r>
      <rPr>
        <sz val="11"/>
        <color theme="1"/>
        <rFont val="Calibri"/>
        <family val="2"/>
        <charset val="1"/>
      </rPr>
      <t xml:space="preserve">, Privacy Risk, </t>
    </r>
    <r>
      <rPr>
        <sz val="11"/>
        <color theme="1"/>
        <rFont val="Noto Sans CJK SC"/>
        <family val="2"/>
      </rPr>
      <t xml:space="preserve">보호조치</t>
    </r>
  </si>
  <si>
    <t xml:space="preserve">B6-5</t>
  </si>
  <si>
    <t xml:space="preserve">Fairness</t>
  </si>
  <si>
    <t xml:space="preserve">Fairness Assessment Template</t>
  </si>
  <si>
    <t xml:space="preserve">Bias and fairness evaluation template</t>
  </si>
  <si>
    <r>
      <rPr>
        <sz val="11"/>
        <color theme="1"/>
        <rFont val="Calibri"/>
        <family val="2"/>
        <charset val="1"/>
      </rPr>
      <t xml:space="preserve">Protected Attributes, Fairness Metrics, Test Dataset, </t>
    </r>
    <r>
      <rPr>
        <sz val="11"/>
        <color theme="1"/>
        <rFont val="Noto Sans CJK SC"/>
        <family val="2"/>
      </rPr>
      <t xml:space="preserve">측정결과</t>
    </r>
    <r>
      <rPr>
        <sz val="11"/>
        <color theme="1"/>
        <rFont val="Calibri"/>
        <family val="2"/>
        <charset val="1"/>
      </rPr>
      <t xml:space="preserve">, Mitigation</t>
    </r>
  </si>
  <si>
    <t xml:space="preserve">B7-1</t>
  </si>
  <si>
    <t xml:space="preserve">B7. Project Management</t>
  </si>
  <si>
    <t xml:space="preserve">Project Plan</t>
  </si>
  <si>
    <t xml:space="preserve">Project Plan (Gantt Chart)</t>
  </si>
  <si>
    <t xml:space="preserve">Standard project plan template</t>
  </si>
  <si>
    <r>
      <rPr>
        <sz val="11"/>
        <color theme="1"/>
        <rFont val="Calibri"/>
        <family val="2"/>
        <charset val="1"/>
      </rPr>
      <t xml:space="preserve">WBS, Task</t>
    </r>
    <r>
      <rPr>
        <sz val="11"/>
        <color theme="1"/>
        <rFont val="Noto Sans CJK SC"/>
        <family val="2"/>
      </rPr>
      <t xml:space="preserve">별 기간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의존성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담당자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마일스톤</t>
    </r>
    <r>
      <rPr>
        <sz val="11"/>
        <color theme="1"/>
        <rFont val="Calibri"/>
        <family val="2"/>
        <charset val="1"/>
      </rPr>
      <t xml:space="preserve">, Critical Path</t>
    </r>
  </si>
  <si>
    <t xml:space="preserve">B7-2</t>
  </si>
  <si>
    <t xml:space="preserve">Status Report</t>
  </si>
  <si>
    <t xml:space="preserve">Weekly Status Report</t>
  </si>
  <si>
    <t xml:space="preserve">Weekly status reporting template</t>
  </si>
  <si>
    <r>
      <rPr>
        <sz val="11"/>
        <color theme="1"/>
        <rFont val="Noto Sans CJK SC"/>
        <family val="2"/>
      </rPr>
      <t xml:space="preserve">주간 달성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다음주 계획</t>
    </r>
    <r>
      <rPr>
        <sz val="11"/>
        <color theme="1"/>
        <rFont val="Calibri"/>
        <family val="2"/>
        <charset val="1"/>
      </rPr>
      <t xml:space="preserve">, Risk/Issue, Key Decisions, Help Needed</t>
    </r>
  </si>
  <si>
    <t xml:space="preserve">2</t>
  </si>
  <si>
    <t xml:space="preserve">B7-3</t>
  </si>
  <si>
    <t xml:space="preserve">Risk/Issue Log</t>
  </si>
  <si>
    <t xml:space="preserve">Risk &amp; Issue Log</t>
  </si>
  <si>
    <t xml:space="preserve">Project risk and issue tracking</t>
  </si>
  <si>
    <t xml:space="preserve">Issue/Risk ID, Type, Description, Priority, Owner, Status, Resolution</t>
  </si>
  <si>
    <t xml:space="preserve">B7-4</t>
  </si>
  <si>
    <t xml:space="preserve">Change Request</t>
  </si>
  <si>
    <t xml:space="preserve">Change Request Form</t>
  </si>
  <si>
    <t xml:space="preserve">Change management template</t>
  </si>
  <si>
    <t xml:space="preserve">Change ID, Requestor, Description, Reason, Impact, Approval Status</t>
  </si>
  <si>
    <t xml:space="preserve">B8-1</t>
  </si>
  <si>
    <t xml:space="preserve">B8. Deliverable Templates</t>
  </si>
  <si>
    <t xml:space="preserve">Executive Report</t>
  </si>
  <si>
    <t xml:space="preserve">Executive Report Template</t>
  </si>
  <si>
    <t xml:space="preserve">Standard executive report format</t>
  </si>
  <si>
    <t xml:space="preserve">Cover, Executive Summary, Key Findings, Recommendations, Roadmap, Appendix</t>
  </si>
  <si>
    <t xml:space="preserve">B8-2</t>
  </si>
  <si>
    <t xml:space="preserve">Technical Doc</t>
  </si>
  <si>
    <t xml:space="preserve">Technical Documentation Template</t>
  </si>
  <si>
    <t xml:space="preserve">Technical documentation standard</t>
  </si>
  <si>
    <t xml:space="preserve">Metadata, ToC, Architecture Diagrams, Specifications, Integration Guide, API Doc</t>
  </si>
  <si>
    <t xml:space="preserve">B8-3</t>
  </si>
  <si>
    <t xml:space="preserve">Handover Package</t>
  </si>
  <si>
    <t xml:space="preserve">Handover Package Template</t>
  </si>
  <si>
    <t xml:space="preserve">Project handover checklist</t>
  </si>
  <si>
    <t xml:space="preserve">Project Summary, Deliverables Checklist, Code Repo, Documentation, Known Issues</t>
  </si>
  <si>
    <t xml:space="preserve">C1-1</t>
  </si>
  <si>
    <t xml:space="preserve">C1. Project Playbooks</t>
  </si>
  <si>
    <t xml:space="preserve">Strategy &amp; Readiness</t>
  </si>
  <si>
    <t xml:space="preserve">AI Strategy &amp; Readiness Playbook</t>
  </si>
  <si>
    <t xml:space="preserve">2-4 week playbook for strategy consulting</t>
  </si>
  <si>
    <t xml:space="preserve">Week-by-week Plan, Activity Guide, Deliverable Checklist, Red Flags, FAQ</t>
  </si>
  <si>
    <t xml:space="preserve">C1-2</t>
  </si>
  <si>
    <t xml:space="preserve">AI Operating Model Playbook</t>
  </si>
  <si>
    <t xml:space="preserve">4-8 week playbook for organization design</t>
  </si>
  <si>
    <r>
      <rPr>
        <sz val="11"/>
        <color theme="1"/>
        <rFont val="Calibri"/>
        <family val="2"/>
        <charset val="1"/>
      </rPr>
      <t xml:space="preserve">4 Phase </t>
    </r>
    <r>
      <rPr>
        <sz val="11"/>
        <color theme="1"/>
        <rFont val="Noto Sans CJK SC"/>
        <family val="2"/>
      </rPr>
      <t xml:space="preserve">실행계획</t>
    </r>
    <r>
      <rPr>
        <sz val="11"/>
        <color theme="1"/>
        <rFont val="Calibri"/>
        <family val="2"/>
        <charset val="1"/>
      </rPr>
      <t xml:space="preserve">, Facilitation Guide, Stakeholder Engagement, Common Pitfalls</t>
    </r>
  </si>
  <si>
    <t xml:space="preserve">C1-3</t>
  </si>
  <si>
    <t xml:space="preserve">Platform Design</t>
  </si>
  <si>
    <t xml:space="preserve">Enterprise AI Platform Playbook</t>
  </si>
  <si>
    <t xml:space="preserve">8-12 week playbook for platform architecture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</si>
  <si>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주 상세계획</t>
    </r>
    <r>
      <rPr>
        <sz val="11"/>
        <color theme="1"/>
        <rFont val="Calibri"/>
        <family val="2"/>
        <charset val="1"/>
      </rPr>
      <t xml:space="preserve">, 5C Framework </t>
    </r>
    <r>
      <rPr>
        <sz val="11"/>
        <color theme="1"/>
        <rFont val="Noto Sans CJK SC"/>
        <family val="2"/>
      </rPr>
      <t xml:space="preserve">적용가이드</t>
    </r>
    <r>
      <rPr>
        <sz val="11"/>
        <color theme="1"/>
        <rFont val="Calibri"/>
        <family val="2"/>
        <charset val="1"/>
      </rPr>
      <t xml:space="preserve">, Tech Selection, PoC Guide, Review Protocol</t>
    </r>
  </si>
  <si>
    <t xml:space="preserve">C1-4</t>
  </si>
  <si>
    <t xml:space="preserve">Solution Accelerator</t>
  </si>
  <si>
    <t xml:space="preserve">AI Solution Accelerator Playbook</t>
  </si>
  <si>
    <t xml:space="preserve">4-8 week sprint-based implementation playbook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</si>
  <si>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Sprint Plan, RAG </t>
    </r>
    <r>
      <rPr>
        <sz val="11"/>
        <color theme="1"/>
        <rFont val="Noto Sans CJK SC"/>
        <family val="2"/>
      </rPr>
      <t xml:space="preserve">구축가이드</t>
    </r>
    <r>
      <rPr>
        <sz val="11"/>
        <color theme="1"/>
        <rFont val="Calibri"/>
        <family val="2"/>
        <charset val="1"/>
      </rPr>
      <t xml:space="preserve">, Agent </t>
    </r>
    <r>
      <rPr>
        <sz val="11"/>
        <color theme="1"/>
        <rFont val="Noto Sans CJK SC"/>
        <family val="2"/>
      </rPr>
      <t xml:space="preserve">개발가이드</t>
    </r>
    <r>
      <rPr>
        <sz val="11"/>
        <color theme="1"/>
        <rFont val="Calibri"/>
        <family val="2"/>
        <charset val="1"/>
      </rPr>
      <t xml:space="preserve">, Evaluation </t>
    </r>
    <r>
      <rPr>
        <sz val="11"/>
        <color theme="1"/>
        <rFont val="Noto Sans CJK SC"/>
        <family val="2"/>
      </rPr>
      <t xml:space="preserve">실행</t>
    </r>
    <r>
      <rPr>
        <sz val="11"/>
        <color theme="1"/>
        <rFont val="Calibri"/>
        <family val="2"/>
        <charset val="1"/>
      </rPr>
      <t xml:space="preserve">, Debugging</t>
    </r>
  </si>
  <si>
    <t xml:space="preserve">C1-5</t>
  </si>
  <si>
    <t xml:space="preserve">Capability Building</t>
  </si>
  <si>
    <t xml:space="preserve">AI Capability Building Playbook</t>
  </si>
  <si>
    <t xml:space="preserve">Program design and delivery playbook</t>
  </si>
  <si>
    <r>
      <rPr>
        <sz val="11"/>
        <color theme="1"/>
        <rFont val="Calibri"/>
        <family val="2"/>
        <charset val="1"/>
      </rPr>
      <t xml:space="preserve">Program Design, Facilitation Tips, Hands-on Lab </t>
    </r>
    <r>
      <rPr>
        <sz val="11"/>
        <color theme="1"/>
        <rFont val="Noto Sans CJK SC"/>
        <family val="2"/>
      </rPr>
      <t xml:space="preserve">운영</t>
    </r>
    <r>
      <rPr>
        <sz val="11"/>
        <color theme="1"/>
        <rFont val="Calibri"/>
        <family val="2"/>
        <charset val="1"/>
      </rPr>
      <t xml:space="preserve">, Assessment, Feedback Collection</t>
    </r>
  </si>
  <si>
    <t xml:space="preserve">Low</t>
  </si>
  <si>
    <t xml:space="preserve">AI Capability Building</t>
  </si>
  <si>
    <t xml:space="preserve">C1-6</t>
  </si>
  <si>
    <t xml:space="preserve">Risk &amp; Compliance</t>
  </si>
  <si>
    <t xml:space="preserve">AI Risk &amp; Compliance Playbook</t>
  </si>
  <si>
    <t xml:space="preserve">4-6 week risk and compliance playbook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</si>
  <si>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주 실행계획</t>
    </r>
    <r>
      <rPr>
        <sz val="11"/>
        <color theme="1"/>
        <rFont val="Calibri"/>
        <family val="2"/>
        <charset val="1"/>
      </rPr>
      <t xml:space="preserve">, Risk Workshop </t>
    </r>
    <r>
      <rPr>
        <sz val="11"/>
        <color theme="1"/>
        <rFont val="Noto Sans CJK SC"/>
        <family val="2"/>
      </rPr>
      <t xml:space="preserve">가이드</t>
    </r>
    <r>
      <rPr>
        <sz val="11"/>
        <color theme="1"/>
        <rFont val="Calibri"/>
        <family val="2"/>
        <charset val="1"/>
      </rPr>
      <t xml:space="preserve">, Regulatory Research, Policy Drafting, Audit Prep</t>
    </r>
  </si>
  <si>
    <t xml:space="preserve">C2-1</t>
  </si>
  <si>
    <t xml:space="preserve">C2. Technical Guides</t>
  </si>
  <si>
    <t xml:space="preserve">Context Engineering Implementation Guide</t>
  </si>
  <si>
    <t xml:space="preserve">Step-by-step guide for context system implementation</t>
  </si>
  <si>
    <r>
      <rPr>
        <sz val="11"/>
        <color theme="1"/>
        <rFont val="Calibri"/>
        <family val="2"/>
        <charset val="1"/>
      </rPr>
      <t xml:space="preserve">Semantic Model </t>
    </r>
    <r>
      <rPr>
        <sz val="11"/>
        <color theme="1"/>
        <rFont val="Noto Sans CJK SC"/>
        <family val="2"/>
      </rPr>
      <t xml:space="preserve">설계</t>
    </r>
    <r>
      <rPr>
        <sz val="11"/>
        <color theme="1"/>
        <rFont val="Calibri"/>
        <family val="2"/>
        <charset val="1"/>
      </rPr>
      <t xml:space="preserve">, Knowledge Graph </t>
    </r>
    <r>
      <rPr>
        <sz val="11"/>
        <color theme="1"/>
        <rFont val="Noto Sans CJK SC"/>
        <family val="2"/>
      </rPr>
      <t xml:space="preserve">구축</t>
    </r>
    <r>
      <rPr>
        <sz val="11"/>
        <color theme="1"/>
        <rFont val="Calibri"/>
        <family val="2"/>
        <charset val="1"/>
      </rPr>
      <t xml:space="preserve">, Context Retrieval </t>
    </r>
    <r>
      <rPr>
        <sz val="11"/>
        <color theme="1"/>
        <rFont val="Noto Sans CJK SC"/>
        <family val="2"/>
      </rPr>
      <t xml:space="preserve">구현</t>
    </r>
    <r>
      <rPr>
        <sz val="11"/>
        <color theme="1"/>
        <rFont val="Calibri"/>
        <family val="2"/>
        <charset val="1"/>
      </rPr>
      <t xml:space="preserve">, QA, Code Examples</t>
    </r>
  </si>
  <si>
    <t xml:space="preserve">C2-2</t>
  </si>
  <si>
    <t xml:space="preserve">RAG Implementation</t>
  </si>
  <si>
    <t xml:space="preserve">RAG System Implementation Guide</t>
  </si>
  <si>
    <t xml:space="preserve">Comprehensive RAG system build guide</t>
  </si>
  <si>
    <r>
      <rPr>
        <sz val="11"/>
        <color theme="1"/>
        <rFont val="Calibri"/>
        <family val="2"/>
        <charset val="1"/>
      </rPr>
      <t xml:space="preserve">Architecture Overview, Component</t>
    </r>
    <r>
      <rPr>
        <sz val="11"/>
        <color theme="1"/>
        <rFont val="Noto Sans CJK SC"/>
        <family val="2"/>
      </rPr>
      <t xml:space="preserve">별 구축</t>
    </r>
    <r>
      <rPr>
        <sz val="11"/>
        <color theme="1"/>
        <rFont val="Calibri"/>
        <family val="2"/>
        <charset val="1"/>
      </rPr>
      <t xml:space="preserve">, Optimization Techniques, Troubleshooting</t>
    </r>
  </si>
  <si>
    <t xml:space="preserve">C2-3</t>
  </si>
  <si>
    <t xml:space="preserve">Agent Development</t>
  </si>
  <si>
    <t xml:space="preserve">Agent Development Guide</t>
  </si>
  <si>
    <t xml:space="preserve">Multi-agent system development guide</t>
  </si>
  <si>
    <r>
      <rPr>
        <sz val="11"/>
        <color theme="1"/>
        <rFont val="Calibri"/>
        <family val="2"/>
        <charset val="1"/>
      </rPr>
      <t xml:space="preserve">Architecture Patterns, LangGraph/CrewAI </t>
    </r>
    <r>
      <rPr>
        <sz val="11"/>
        <color theme="1"/>
        <rFont val="Noto Sans CJK SC"/>
        <family val="2"/>
      </rPr>
      <t xml:space="preserve">활용</t>
    </r>
    <r>
      <rPr>
        <sz val="11"/>
        <color theme="1"/>
        <rFont val="Calibri"/>
        <family val="2"/>
        <charset val="1"/>
      </rPr>
      <t xml:space="preserve">, Tool Integration, Memory </t>
    </r>
    <r>
      <rPr>
        <sz val="11"/>
        <color theme="1"/>
        <rFont val="Noto Sans CJK SC"/>
        <family val="2"/>
      </rPr>
      <t xml:space="preserve">구현</t>
    </r>
    <r>
      <rPr>
        <sz val="11"/>
        <color theme="1"/>
        <rFont val="Calibri"/>
        <family val="2"/>
        <charset val="1"/>
      </rPr>
      <t xml:space="preserve">, Testing</t>
    </r>
  </si>
  <si>
    <t xml:space="preserve">C2-4</t>
  </si>
  <si>
    <t xml:space="preserve">MLOps Setup</t>
  </si>
  <si>
    <t xml:space="preserve">MLOps Pipeline Setup Guide</t>
  </si>
  <si>
    <t xml:space="preserve">MLOps infrastructure setup guide</t>
  </si>
  <si>
    <r>
      <rPr>
        <sz val="11"/>
        <color theme="1"/>
        <rFont val="Calibri"/>
        <family val="2"/>
        <charset val="1"/>
      </rPr>
      <t xml:space="preserve">Infrastructure Setup, Tool Stack </t>
    </r>
    <r>
      <rPr>
        <sz val="11"/>
        <color theme="1"/>
        <rFont val="Noto Sans CJK SC"/>
        <family val="2"/>
      </rPr>
      <t xml:space="preserve">구성</t>
    </r>
    <r>
      <rPr>
        <sz val="11"/>
        <color theme="1"/>
        <rFont val="Calibri"/>
        <family val="2"/>
        <charset val="1"/>
      </rPr>
      <t xml:space="preserve">, Pipeline </t>
    </r>
    <r>
      <rPr>
        <sz val="11"/>
        <color theme="1"/>
        <rFont val="Noto Sans CJK SC"/>
        <family val="2"/>
      </rPr>
      <t xml:space="preserve">구현</t>
    </r>
    <r>
      <rPr>
        <sz val="11"/>
        <color theme="1"/>
        <rFont val="Calibri"/>
        <family val="2"/>
        <charset val="1"/>
      </rPr>
      <t xml:space="preserve">, Monitoring, CI/CD</t>
    </r>
  </si>
  <si>
    <t xml:space="preserve">C3-1</t>
  </si>
  <si>
    <t xml:space="preserve">C3. Application Guides</t>
  </si>
  <si>
    <t xml:space="preserve">5C Framework Application Guide</t>
  </si>
  <si>
    <t xml:space="preserve">Guide for applying 5C Framework</t>
  </si>
  <si>
    <r>
      <rPr>
        <sz val="11"/>
        <color theme="1"/>
        <rFont val="Calibri"/>
        <family val="2"/>
        <charset val="1"/>
      </rPr>
      <t xml:space="preserve">When/How to apply, </t>
    </r>
    <r>
      <rPr>
        <sz val="11"/>
        <color theme="1"/>
        <rFont val="Noto Sans CJK SC"/>
        <family val="2"/>
      </rPr>
      <t xml:space="preserve">각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별 체크리스트</t>
    </r>
    <r>
      <rPr>
        <sz val="11"/>
        <color theme="1"/>
        <rFont val="Calibri"/>
        <family val="2"/>
        <charset val="1"/>
      </rPr>
      <t xml:space="preserve">, Integration Points, Success Indicators, Cases</t>
    </r>
  </si>
  <si>
    <t xml:space="preserve">C3-2</t>
  </si>
  <si>
    <t xml:space="preserve">Use Case Prioritization Guide</t>
  </si>
  <si>
    <t xml:space="preserve">Workshop facilitation guide for prioritization</t>
  </si>
  <si>
    <t xml:space="preserve">Preparation, Workshop Process, Scoring, Facilitation Tips, Output Validation</t>
  </si>
  <si>
    <t xml:space="preserve">C3-3</t>
  </si>
  <si>
    <t xml:space="preserve">Risk Assessment Execution Guide</t>
  </si>
  <si>
    <t xml:space="preserve">How to conduct risk assessment</t>
  </si>
  <si>
    <t xml:space="preserve">Prep Checklist, Interview/Workshop Protocol, Scoring Calibration, Heat Map, Report</t>
  </si>
  <si>
    <t xml:space="preserve">C4-1</t>
  </si>
  <si>
    <t xml:space="preserve">C4. Quality Guides</t>
  </si>
  <si>
    <t xml:space="preserve">Peer Review</t>
  </si>
  <si>
    <t xml:space="preserve">Peer Review Guide</t>
  </si>
  <si>
    <t xml:space="preserve">Standards for peer review process</t>
  </si>
  <si>
    <r>
      <rPr>
        <sz val="11"/>
        <color theme="1"/>
        <rFont val="Calibri"/>
        <family val="2"/>
        <charset val="1"/>
      </rPr>
      <t xml:space="preserve">Review </t>
    </r>
    <r>
      <rPr>
        <sz val="11"/>
        <color theme="1"/>
        <rFont val="Noto Sans CJK SC"/>
        <family val="2"/>
      </rPr>
      <t xml:space="preserve">대상</t>
    </r>
    <r>
      <rPr>
        <sz val="11"/>
        <color theme="1"/>
        <rFont val="Calibri"/>
        <family val="2"/>
        <charset val="1"/>
      </rPr>
      <t xml:space="preserve">, Checklist, Process, Feedback </t>
    </r>
    <r>
      <rPr>
        <sz val="11"/>
        <color theme="1"/>
        <rFont val="Noto Sans CJK SC"/>
        <family val="2"/>
      </rPr>
      <t xml:space="preserve">작성</t>
    </r>
    <r>
      <rPr>
        <sz val="11"/>
        <color theme="1"/>
        <rFont val="Calibri"/>
        <family val="2"/>
        <charset val="1"/>
      </rPr>
      <t xml:space="preserve">, Common Issues</t>
    </r>
  </si>
  <si>
    <t xml:space="preserve">C4-2</t>
  </si>
  <si>
    <t xml:space="preserve">QA Checklist</t>
  </si>
  <si>
    <t xml:space="preserve">Quality Assurance Checklist</t>
  </si>
  <si>
    <t xml:space="preserve">Comprehensive QA standards</t>
  </si>
  <si>
    <r>
      <rPr>
        <sz val="11"/>
        <color theme="1"/>
        <rFont val="Calibri"/>
        <family val="2"/>
        <charset val="1"/>
      </rPr>
      <t xml:space="preserve">Phase</t>
    </r>
    <r>
      <rPr>
        <sz val="11"/>
        <color theme="1"/>
        <rFont val="Noto Sans CJK SC"/>
        <family val="2"/>
      </rPr>
      <t xml:space="preserve">별 </t>
    </r>
    <r>
      <rPr>
        <sz val="11"/>
        <color theme="1"/>
        <rFont val="Calibri"/>
        <family val="2"/>
        <charset val="1"/>
      </rPr>
      <t xml:space="preserve">QA </t>
    </r>
    <r>
      <rPr>
        <sz val="11"/>
        <color theme="1"/>
        <rFont val="Noto Sans CJK SC"/>
        <family val="2"/>
      </rPr>
      <t xml:space="preserve">체크포인트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산출물별 품질기준</t>
    </r>
    <r>
      <rPr>
        <sz val="11"/>
        <color theme="1"/>
        <rFont val="Calibri"/>
        <family val="2"/>
        <charset val="1"/>
      </rPr>
      <t xml:space="preserve">, Technical/Documentation Review</t>
    </r>
  </si>
  <si>
    <t xml:space="preserve">C5-1</t>
  </si>
  <si>
    <t xml:space="preserve">C5. Sales Guides</t>
  </si>
  <si>
    <t xml:space="preserve">Sales Conversation</t>
  </si>
  <si>
    <t xml:space="preserve">Sales Conversation Guide</t>
  </si>
  <si>
    <t xml:space="preserve">Guide for discovery and sales conversations</t>
  </si>
  <si>
    <t xml:space="preserve">Discovery Questions, Pain Point Mapping, Objection Handling, Value Prop, Next Step</t>
  </si>
  <si>
    <t xml:space="preserve">영업 프로세스</t>
  </si>
  <si>
    <t xml:space="preserve">C5-2</t>
  </si>
  <si>
    <t xml:space="preserve">Proposal Development</t>
  </si>
  <si>
    <t xml:space="preserve">Proposal Development Guide</t>
  </si>
  <si>
    <t xml:space="preserve">How to write winning proposals</t>
  </si>
  <si>
    <r>
      <rPr>
        <sz val="11"/>
        <color theme="1"/>
        <rFont val="Noto Sans CJK SC"/>
        <family val="2"/>
      </rPr>
      <t xml:space="preserve">제안서 구조</t>
    </r>
    <r>
      <rPr>
        <sz val="11"/>
        <color theme="1"/>
        <rFont val="Calibri"/>
        <family val="2"/>
        <charset val="1"/>
      </rPr>
      <t xml:space="preserve">, Section</t>
    </r>
    <r>
      <rPr>
        <sz val="11"/>
        <color theme="1"/>
        <rFont val="Noto Sans CJK SC"/>
        <family val="2"/>
      </rPr>
      <t xml:space="preserve">별 작성가이드</t>
    </r>
    <r>
      <rPr>
        <sz val="11"/>
        <color theme="1"/>
        <rFont val="Calibri"/>
        <family val="2"/>
        <charset val="1"/>
      </rPr>
      <t xml:space="preserve">, Storytelling, Pricing </t>
    </r>
    <r>
      <rPr>
        <sz val="11"/>
        <color theme="1"/>
        <rFont val="Noto Sans CJK SC"/>
        <family val="2"/>
      </rPr>
      <t xml:space="preserve">전략</t>
    </r>
    <r>
      <rPr>
        <sz val="11"/>
        <color theme="1"/>
        <rFont val="Calibri"/>
        <family val="2"/>
        <charset val="1"/>
      </rPr>
      <t xml:space="preserve">, Win Theme</t>
    </r>
  </si>
  <si>
    <t xml:space="preserve">D1-1</t>
  </si>
  <si>
    <t xml:space="preserve">D1. Case Studies</t>
  </si>
  <si>
    <t xml:space="preserve">Template</t>
  </si>
  <si>
    <t xml:space="preserve">Project Case Study Template</t>
  </si>
  <si>
    <t xml:space="preserve">Standard template for case study documentation</t>
  </si>
  <si>
    <t xml:space="preserve">Client Profile, Challenge, Approach, Solution, Results, Lessons Learned</t>
  </si>
  <si>
    <t xml:space="preserve">D1-2</t>
  </si>
  <si>
    <t xml:space="preserve">Financial Services</t>
  </si>
  <si>
    <t xml:space="preserve">Financial Services Case Studies</t>
  </si>
  <si>
    <t xml:space="preserve">Case studies from financial sector projects</t>
  </si>
  <si>
    <r>
      <rPr>
        <sz val="11"/>
        <color theme="1"/>
        <rFont val="Noto Sans CJK SC"/>
        <family val="2"/>
      </rPr>
      <t xml:space="preserve">금융권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전환 사례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규제 대응 사례</t>
    </r>
    <r>
      <rPr>
        <sz val="11"/>
        <color theme="1"/>
        <rFont val="Calibri"/>
        <family val="2"/>
        <charset val="1"/>
      </rPr>
      <t xml:space="preserve">, RAG/Agent </t>
    </r>
    <r>
      <rPr>
        <sz val="11"/>
        <color theme="1"/>
        <rFont val="Noto Sans CJK SC"/>
        <family val="2"/>
      </rPr>
      <t xml:space="preserve">구현 사례 등</t>
    </r>
  </si>
  <si>
    <t xml:space="preserve">Multiple</t>
  </si>
  <si>
    <r>
      <rPr>
        <sz val="11"/>
        <color theme="1"/>
        <rFont val="Noto Sans CJK SC"/>
        <family val="2"/>
      </rPr>
      <t xml:space="preserve">최소 </t>
    </r>
    <r>
      <rPr>
        <sz val="11"/>
        <color theme="1"/>
        <rFont val="Calibri"/>
        <family val="2"/>
        <charset val="1"/>
      </rPr>
      <t xml:space="preserve">3-5</t>
    </r>
    <r>
      <rPr>
        <sz val="11"/>
        <color theme="1"/>
        <rFont val="Noto Sans CJK SC"/>
        <family val="2"/>
      </rPr>
      <t xml:space="preserve">개 축적</t>
    </r>
  </si>
  <si>
    <t xml:space="preserve">D1-3</t>
  </si>
  <si>
    <t xml:space="preserve">Telecom</t>
  </si>
  <si>
    <t xml:space="preserve">Telecom Case Studies</t>
  </si>
  <si>
    <t xml:space="preserve">Case studies from telecommunications sector</t>
  </si>
  <si>
    <r>
      <rPr>
        <sz val="11"/>
        <color theme="1"/>
        <rFont val="Noto Sans CJK SC"/>
        <family val="2"/>
      </rPr>
      <t xml:space="preserve">통신사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플랫폼 구축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대규모 시스템 통합 사례 등</t>
    </r>
  </si>
  <si>
    <r>
      <rPr>
        <sz val="11"/>
        <color theme="1"/>
        <rFont val="Noto Sans CJK SC"/>
        <family val="2"/>
      </rPr>
      <t xml:space="preserve">최소 </t>
    </r>
    <r>
      <rPr>
        <sz val="11"/>
        <color theme="1"/>
        <rFont val="Calibri"/>
        <family val="2"/>
        <charset val="1"/>
      </rPr>
      <t xml:space="preserve">2-3</t>
    </r>
    <r>
      <rPr>
        <sz val="11"/>
        <color theme="1"/>
        <rFont val="Noto Sans CJK SC"/>
        <family val="2"/>
      </rPr>
      <t xml:space="preserve">개</t>
    </r>
  </si>
  <si>
    <t xml:space="preserve">D1-4</t>
  </si>
  <si>
    <t xml:space="preserve">Manufacturing</t>
  </si>
  <si>
    <t xml:space="preserve">Manufacturing Case Studies</t>
  </si>
  <si>
    <t xml:space="preserve">Case studies from manufacturing sector</t>
  </si>
  <si>
    <r>
      <rPr>
        <sz val="11"/>
        <color theme="1"/>
        <rFont val="Noto Sans CJK SC"/>
        <family val="2"/>
      </rPr>
      <t xml:space="preserve">제조업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활용 사례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예지보전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품질관리 등</t>
    </r>
  </si>
  <si>
    <t xml:space="preserve">선택적 축적</t>
  </si>
  <si>
    <t xml:space="preserve">D1-5</t>
  </si>
  <si>
    <t xml:space="preserve">Public Sector</t>
  </si>
  <si>
    <t xml:space="preserve">Public Sector Case Studies</t>
  </si>
  <si>
    <t xml:space="preserve">Case studies from government/public sector</t>
  </si>
  <si>
    <r>
      <rPr>
        <sz val="11"/>
        <color theme="1"/>
        <rFont val="Noto Sans CJK SC"/>
        <family val="2"/>
      </rPr>
      <t xml:space="preserve">공공기관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도입 사례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컴플라이언스 중심 사례</t>
    </r>
  </si>
  <si>
    <t xml:space="preserve">D2-1</t>
  </si>
  <si>
    <t xml:space="preserve">D2. Best Practices</t>
  </si>
  <si>
    <t xml:space="preserve">Technical</t>
  </si>
  <si>
    <t xml:space="preserve">Technical Best Practices</t>
  </si>
  <si>
    <t xml:space="preserve">Collection of technical best practices</t>
  </si>
  <si>
    <r>
      <rPr>
        <sz val="11"/>
        <color theme="1"/>
        <rFont val="Calibri"/>
        <family val="2"/>
        <charset val="1"/>
      </rPr>
      <t xml:space="preserve">RAG (20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), Agent (15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), MLOps (25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), Security (30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</si>
  <si>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t xml:space="preserve">지속 축적</t>
  </si>
  <si>
    <t xml:space="preserve">D2-2</t>
  </si>
  <si>
    <t xml:space="preserve">Project Mgmt</t>
  </si>
  <si>
    <t xml:space="preserve">Project Management Best Practices</t>
  </si>
  <si>
    <t xml:space="preserve">PM best practices collection</t>
  </si>
  <si>
    <t xml:space="preserve">Stakeholder Mgmt, Risk Mgmt, Communication, Change Mgmt</t>
  </si>
  <si>
    <t xml:space="preserve">D2-3</t>
  </si>
  <si>
    <t xml:space="preserve">Consulting</t>
  </si>
  <si>
    <t xml:space="preserve">Consulting Best Practices</t>
  </si>
  <si>
    <t xml:space="preserve">Consulting delivery best practices</t>
  </si>
  <si>
    <t xml:space="preserve">Client Engagement, Workshop Facilitation, Presentation, Knowledge Transfer</t>
  </si>
  <si>
    <t xml:space="preserve">D3-1</t>
  </si>
  <si>
    <t xml:space="preserve">D3. Lessons Learned</t>
  </si>
  <si>
    <t xml:space="preserve">Lessons Learned Template</t>
  </si>
  <si>
    <t xml:space="preserve">Template for capturing lessons learned</t>
  </si>
  <si>
    <t xml:space="preserve">Project Context, What Worked, What Didnt, Root Cause, Recommendations</t>
  </si>
  <si>
    <t xml:space="preserve">D3-2</t>
  </si>
  <si>
    <t xml:space="preserve">Common Pitfalls</t>
  </si>
  <si>
    <t xml:space="preserve">Common Pitfalls Library</t>
  </si>
  <si>
    <t xml:space="preserve">Database of common mistakes and issues</t>
  </si>
  <si>
    <r>
      <rPr>
        <sz val="11"/>
        <color theme="1"/>
        <rFont val="Noto Sans CJK SC"/>
        <family val="2"/>
      </rPr>
      <t xml:space="preserve">기술선정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스코핑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데이터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조직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정치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일정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예산 실수들</t>
    </r>
  </si>
  <si>
    <t xml:space="preserve">D4-1</t>
  </si>
  <si>
    <t xml:space="preserve">D4. Reference Materials</t>
  </si>
  <si>
    <t xml:space="preserve">Tech Landscape</t>
  </si>
  <si>
    <t xml:space="preserve">Technology Landscape</t>
  </si>
  <si>
    <t xml:space="preserve">Comprehensive technology catalog</t>
  </si>
  <si>
    <t xml:space="preserve">LLM Platforms, Vector/Graph DB, MLOps Tools, Monitoring, Data Processing</t>
  </si>
  <si>
    <t xml:space="preserve">분기 업데이트</t>
  </si>
  <si>
    <t xml:space="preserve">D4-2</t>
  </si>
  <si>
    <t xml:space="preserve">Research Papers</t>
  </si>
  <si>
    <t xml:space="preserve">Research Paper Library</t>
  </si>
  <si>
    <t xml:space="preserve">Curated research paper collection</t>
  </si>
  <si>
    <r>
      <rPr>
        <sz val="11"/>
        <color theme="1"/>
        <rFont val="Calibri"/>
        <family val="2"/>
        <charset val="1"/>
      </rPr>
      <t xml:space="preserve">RAG, Multi-agent, Prompt Engineering, Evaluation, AI Safety - </t>
    </r>
    <r>
      <rPr>
        <sz val="11"/>
        <color theme="1"/>
        <rFont val="Noto Sans CJK SC"/>
        <family val="2"/>
      </rPr>
      <t xml:space="preserve">요약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인사이트</t>
    </r>
  </si>
  <si>
    <t xml:space="preserve">D4-3</t>
  </si>
  <si>
    <t xml:space="preserve">Industry Reports</t>
  </si>
  <si>
    <t xml:space="preserve">Industry Reports &amp; Trends</t>
  </si>
  <si>
    <t xml:space="preserve">Industry report collection</t>
  </si>
  <si>
    <r>
      <rPr>
        <sz val="11"/>
        <color theme="1"/>
        <rFont val="Calibri"/>
        <family val="2"/>
        <charset val="1"/>
      </rPr>
      <t xml:space="preserve">Gartner/Forrester, Anthropic/OpenAI, </t>
    </r>
    <r>
      <rPr>
        <sz val="11"/>
        <color theme="1"/>
        <rFont val="Noto Sans CJK SC"/>
        <family val="2"/>
      </rPr>
      <t xml:space="preserve">학술컨퍼런스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산업별 트렌드</t>
    </r>
  </si>
  <si>
    <t xml:space="preserve">E1-1</t>
  </si>
  <si>
    <t xml:space="preserve">E1. Service Materials</t>
  </si>
  <si>
    <t xml:space="preserve">Company Overview</t>
  </si>
  <si>
    <t xml:space="preserve">Company Overview Deck</t>
  </si>
  <si>
    <t xml:space="preserve">Master company introduction presentation</t>
  </si>
  <si>
    <t xml:space="preserve">Who We Are, What We Do, Differentiation, Approach, Cases, Team - 15-20 slides</t>
  </si>
  <si>
    <t xml:space="preserve">E1-2</t>
  </si>
  <si>
    <t xml:space="preserve">Strategy Service</t>
  </si>
  <si>
    <t xml:space="preserve">AI Strategy &amp; Readiness Deck</t>
  </si>
  <si>
    <t xml:space="preserve">Service line deck for strategy consulting</t>
  </si>
  <si>
    <t xml:space="preserve">Overview, Value Prop, Approach, Deliverables, Timeline, Cases - 8-10 slides</t>
  </si>
  <si>
    <t xml:space="preserve">E1-3</t>
  </si>
  <si>
    <t xml:space="preserve">AI Operating Model Deck</t>
  </si>
  <si>
    <t xml:space="preserve">Service line deck for operating model</t>
  </si>
  <si>
    <t xml:space="preserve">E1-4</t>
  </si>
  <si>
    <t xml:space="preserve">Platform Service</t>
  </si>
  <si>
    <t xml:space="preserve">Enterprise AI Platform Deck</t>
  </si>
  <si>
    <t xml:space="preserve">Service line deck for platform design</t>
  </si>
  <si>
    <t xml:space="preserve">Overview, Value Prop, 5C Framework, Approach, Deliverables, Cases - 10-12 slides</t>
  </si>
  <si>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강조</t>
    </r>
  </si>
  <si>
    <t xml:space="preserve">E1-5</t>
  </si>
  <si>
    <t xml:space="preserve">Solution Service</t>
  </si>
  <si>
    <t xml:space="preserve">AI Solution Accelerator Deck</t>
  </si>
  <si>
    <t xml:space="preserve">Service line deck for solution implementation</t>
  </si>
  <si>
    <t xml:space="preserve">E1-6</t>
  </si>
  <si>
    <t xml:space="preserve">Capability Service</t>
  </si>
  <si>
    <t xml:space="preserve">AI Capability Building Deck</t>
  </si>
  <si>
    <t xml:space="preserve">Service line deck for training/education</t>
  </si>
  <si>
    <t xml:space="preserve">E1-7</t>
  </si>
  <si>
    <t xml:space="preserve">Risk Service</t>
  </si>
  <si>
    <t xml:space="preserve">AI Risk &amp; Compliance Deck</t>
  </si>
  <si>
    <t xml:space="preserve">Service line deck for risk/compliance</t>
  </si>
  <si>
    <t xml:space="preserve">E1-8</t>
  </si>
  <si>
    <t xml:space="preserve">Methodology</t>
  </si>
  <si>
    <t xml:space="preserve">Methodology Showcase Deck</t>
  </si>
  <si>
    <t xml:space="preserve">Presentation of core IP and methodologies</t>
  </si>
  <si>
    <r>
      <rPr>
        <sz val="11"/>
        <color theme="1"/>
        <rFont val="Calibri"/>
        <family val="2"/>
        <charset val="1"/>
      </rPr>
      <t xml:space="preserve">5C Framework </t>
    </r>
    <r>
      <rPr>
        <sz val="11"/>
        <color theme="1"/>
        <rFont val="Noto Sans CJK SC"/>
        <family val="2"/>
      </rPr>
      <t xml:space="preserve">설명</t>
    </r>
    <r>
      <rPr>
        <sz val="11"/>
        <color theme="1"/>
        <rFont val="Calibri"/>
        <family val="2"/>
        <charset val="1"/>
      </rPr>
      <t xml:space="preserve">, Context Engineering </t>
    </r>
    <r>
      <rPr>
        <sz val="11"/>
        <color theme="1"/>
        <rFont val="Noto Sans CJK SC"/>
        <family val="2"/>
      </rPr>
      <t xml:space="preserve">개요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적용사례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차별화</t>
    </r>
  </si>
  <si>
    <t xml:space="preserve">E2-1</t>
  </si>
  <si>
    <t xml:space="preserve">E2. Proposal Templates</t>
  </si>
  <si>
    <t xml:space="preserve">Master Proposal</t>
  </si>
  <si>
    <t xml:space="preserve">Master Proposal Template</t>
  </si>
  <si>
    <t xml:space="preserve">Comprehensive proposal template</t>
  </si>
  <si>
    <t xml:space="preserve">Cover, Executive Summary, Requirements, Approach, Deliverables, Timeline, Investment, Qualifications</t>
  </si>
  <si>
    <t xml:space="preserve">E2-2</t>
  </si>
  <si>
    <t xml:space="preserve">SOW</t>
  </si>
  <si>
    <t xml:space="preserve">Statement of Work (SOW) Template</t>
  </si>
  <si>
    <t xml:space="preserve">Standard SOW template</t>
  </si>
  <si>
    <t xml:space="preserve">Scope, Objectives, Deliverables, Assumptions, Roles, Timeline, Payment Terms</t>
  </si>
  <si>
    <t xml:space="preserve">E2-3</t>
  </si>
  <si>
    <t xml:space="preserve">Pricing</t>
  </si>
  <si>
    <t xml:space="preserve">Pricing Templates</t>
  </si>
  <si>
    <t xml:space="preserve">Pricing model templates</t>
  </si>
  <si>
    <r>
      <rPr>
        <sz val="11"/>
        <color theme="1"/>
        <rFont val="Calibri"/>
        <family val="2"/>
        <charset val="1"/>
      </rPr>
      <t xml:space="preserve">Fixed Price, T&amp;M, Retainer </t>
    </r>
    <r>
      <rPr>
        <sz val="11"/>
        <color theme="1"/>
        <rFont val="Noto Sans CJK SC"/>
        <family val="2"/>
      </rPr>
      <t xml:space="preserve">모델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서비스팩별 가격표</t>
    </r>
    <r>
      <rPr>
        <sz val="11"/>
        <color theme="1"/>
        <rFont val="Calibri"/>
        <family val="2"/>
        <charset val="1"/>
      </rPr>
      <t xml:space="preserve">, Add-ons, Discount Structure</t>
    </r>
  </si>
  <si>
    <t xml:space="preserve">민감정보</t>
  </si>
  <si>
    <t xml:space="preserve">E3-1</t>
  </si>
  <si>
    <t xml:space="preserve">E3. Marketing Content</t>
  </si>
  <si>
    <t xml:space="preserve">Thought Leadership</t>
  </si>
  <si>
    <t xml:space="preserve">Thought Leadership Articles</t>
  </si>
  <si>
    <t xml:space="preserve">Collection of articles and blog posts</t>
  </si>
  <si>
    <r>
      <rPr>
        <sz val="11"/>
        <color theme="1"/>
        <rFont val="Calibri"/>
        <family val="2"/>
        <charset val="1"/>
      </rPr>
      <t xml:space="preserve">Enterprise AI 5</t>
    </r>
    <r>
      <rPr>
        <sz val="11"/>
        <color theme="1"/>
        <rFont val="Noto Sans CJK SC"/>
        <family val="2"/>
      </rPr>
      <t xml:space="preserve">원칙</t>
    </r>
    <r>
      <rPr>
        <sz val="11"/>
        <color theme="1"/>
        <rFont val="Calibri"/>
        <family val="2"/>
        <charset val="1"/>
      </rPr>
      <t xml:space="preserve">, Context Engineering, AI Governance </t>
    </r>
    <r>
      <rPr>
        <sz val="11"/>
        <color theme="1"/>
        <rFont val="Noto Sans CJK SC"/>
        <family val="2"/>
      </rPr>
      <t xml:space="preserve">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분기별 </t>
    </r>
    <r>
      <rPr>
        <sz val="11"/>
        <color theme="1"/>
        <rFont val="Calibri"/>
        <family val="2"/>
        <charset val="1"/>
      </rPr>
      <t xml:space="preserve">2-3</t>
    </r>
    <r>
      <rPr>
        <sz val="11"/>
        <color theme="1"/>
        <rFont val="Noto Sans CJK SC"/>
        <family val="2"/>
      </rPr>
      <t xml:space="preserve">개</t>
    </r>
  </si>
  <si>
    <t xml:space="preserve">지속 발행</t>
  </si>
  <si>
    <t xml:space="preserve">E3-2</t>
  </si>
  <si>
    <t xml:space="preserve">Webinars</t>
  </si>
  <si>
    <t xml:space="preserve">Webinar/Workshop Materials</t>
  </si>
  <si>
    <t xml:space="preserve">Webinar series materials</t>
  </si>
  <si>
    <r>
      <rPr>
        <sz val="11"/>
        <color theme="1"/>
        <rFont val="Calibri"/>
        <family val="2"/>
        <charset val="1"/>
      </rPr>
      <t xml:space="preserve">AI Transformation </t>
    </r>
    <r>
      <rPr>
        <sz val="11"/>
        <color theme="1"/>
        <rFont val="Noto Sans CJK SC"/>
        <family val="2"/>
      </rPr>
      <t xml:space="preserve">시작</t>
    </r>
    <r>
      <rPr>
        <sz val="11"/>
        <color theme="1"/>
        <rFont val="Calibri"/>
        <family val="2"/>
        <charset val="1"/>
      </rPr>
      <t xml:space="preserve">, Enterprise RAG </t>
    </r>
    <r>
      <rPr>
        <sz val="11"/>
        <color theme="1"/>
        <rFont val="Noto Sans CJK SC"/>
        <family val="2"/>
      </rPr>
      <t xml:space="preserve">전략</t>
    </r>
    <r>
      <rPr>
        <sz val="11"/>
        <color theme="1"/>
        <rFont val="Calibri"/>
        <family val="2"/>
        <charset val="1"/>
      </rPr>
      <t xml:space="preserve">, AI </t>
    </r>
    <r>
      <rPr>
        <sz val="11"/>
        <color theme="1"/>
        <rFont val="Noto Sans CJK SC"/>
        <family val="2"/>
      </rPr>
      <t xml:space="preserve">리스크 관리 </t>
    </r>
    <r>
      <rPr>
        <sz val="11"/>
        <color theme="1"/>
        <rFont val="Calibri"/>
        <family val="2"/>
        <charset val="1"/>
      </rPr>
      <t xml:space="preserve">- 1</t>
    </r>
    <r>
      <rPr>
        <sz val="11"/>
        <color theme="1"/>
        <rFont val="Noto Sans CJK SC"/>
        <family val="2"/>
      </rPr>
      <t xml:space="preserve">시간 각</t>
    </r>
  </si>
  <si>
    <t xml:space="preserve">48</t>
  </si>
  <si>
    <t xml:space="preserve">선택적</t>
  </si>
  <si>
    <t xml:space="preserve">E3-3</t>
  </si>
  <si>
    <t xml:space="preserve">White Papers</t>
  </si>
  <si>
    <t xml:space="preserve">In-depth white papers</t>
  </si>
  <si>
    <r>
      <rPr>
        <sz val="11"/>
        <color theme="1"/>
        <rFont val="Calibri"/>
        <family val="2"/>
        <charset val="1"/>
      </rPr>
      <t xml:space="preserve">5C Framework Deep-dive, Platform Architecture Guide, Governance Framework - </t>
    </r>
    <r>
      <rPr>
        <sz val="11"/>
        <color theme="1"/>
        <rFont val="Noto Sans CJK SC"/>
        <family val="2"/>
      </rPr>
      <t xml:space="preserve">연 </t>
    </r>
    <r>
      <rPr>
        <sz val="11"/>
        <color theme="1"/>
        <rFont val="Calibri"/>
        <family val="2"/>
        <charset val="1"/>
      </rPr>
      <t xml:space="preserve">2-3</t>
    </r>
    <r>
      <rPr>
        <sz val="11"/>
        <color theme="1"/>
        <rFont val="Noto Sans CJK SC"/>
        <family val="2"/>
      </rPr>
      <t xml:space="preserve">개</t>
    </r>
  </si>
  <si>
    <t xml:space="preserve">80</t>
  </si>
  <si>
    <t xml:space="preserve">연간 계획</t>
  </si>
  <si>
    <t xml:space="preserve">F1-1</t>
  </si>
  <si>
    <t xml:space="preserve">F1. Project Management</t>
  </si>
  <si>
    <t xml:space="preserve">Lifecycle</t>
  </si>
  <si>
    <t xml:space="preserve">Project Lifecycle Standard</t>
  </si>
  <si>
    <t xml:space="preserve">Standard project lifecycle definition</t>
  </si>
  <si>
    <r>
      <rPr>
        <sz val="11"/>
        <color theme="1"/>
        <rFont val="Calibri"/>
        <family val="2"/>
        <charset val="1"/>
      </rPr>
      <t xml:space="preserve">5 Phases </t>
    </r>
    <r>
      <rPr>
        <sz val="11"/>
        <color theme="1"/>
        <rFont val="Noto Sans CJK SC"/>
        <family val="2"/>
      </rPr>
      <t xml:space="preserve">정의</t>
    </r>
    <r>
      <rPr>
        <sz val="11"/>
        <color theme="1"/>
        <rFont val="Calibri"/>
        <family val="2"/>
        <charset val="1"/>
      </rPr>
      <t xml:space="preserve">, Phase</t>
    </r>
    <r>
      <rPr>
        <sz val="11"/>
        <color theme="1"/>
        <rFont val="Noto Sans CJK SC"/>
        <family val="2"/>
      </rPr>
      <t xml:space="preserve">별 목적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활동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산출물</t>
    </r>
    <r>
      <rPr>
        <sz val="11"/>
        <color theme="1"/>
        <rFont val="Calibri"/>
        <family val="2"/>
        <charset val="1"/>
      </rPr>
      <t xml:space="preserve">/Gate </t>
    </r>
    <r>
      <rPr>
        <sz val="11"/>
        <color theme="1"/>
        <rFont val="Noto Sans CJK SC"/>
        <family val="2"/>
      </rPr>
      <t xml:space="preserve">기준</t>
    </r>
  </si>
  <si>
    <t xml:space="preserve">F1-2</t>
  </si>
  <si>
    <t xml:space="preserve">Kickoff</t>
  </si>
  <si>
    <t xml:space="preserve">Project Kickoff Protocol</t>
  </si>
  <si>
    <t xml:space="preserve">Standard kickoff process</t>
  </si>
  <si>
    <r>
      <rPr>
        <sz val="11"/>
        <color theme="1"/>
        <rFont val="Calibri"/>
        <family val="2"/>
        <charset val="1"/>
      </rPr>
      <t xml:space="preserve">Kickoff </t>
    </r>
    <r>
      <rPr>
        <sz val="11"/>
        <color theme="1"/>
        <rFont val="Noto Sans CJK SC"/>
        <family val="2"/>
      </rPr>
      <t xml:space="preserve">전 준비</t>
    </r>
    <r>
      <rPr>
        <sz val="11"/>
        <color theme="1"/>
        <rFont val="Calibri"/>
        <family val="2"/>
        <charset val="1"/>
      </rPr>
      <t xml:space="preserve">, Meeting Agenda, Deck Template, </t>
    </r>
    <r>
      <rPr>
        <sz val="11"/>
        <color theme="1"/>
        <rFont val="Noto Sans CJK SC"/>
        <family val="2"/>
      </rPr>
      <t xml:space="preserve">팀소개</t>
    </r>
    <r>
      <rPr>
        <sz val="11"/>
        <color theme="1"/>
        <rFont val="Calibri"/>
        <family val="2"/>
        <charset val="1"/>
      </rPr>
      <t xml:space="preserve">, Ground Rules</t>
    </r>
  </si>
  <si>
    <t xml:space="preserve">F1-3</t>
  </si>
  <si>
    <t xml:space="preserve">Status Reporting</t>
  </si>
  <si>
    <t xml:space="preserve">Status Reporting Process</t>
  </si>
  <si>
    <t xml:space="preserve">Reporting standards and cadence</t>
  </si>
  <si>
    <r>
      <rPr>
        <sz val="11"/>
        <color theme="1"/>
        <rFont val="Calibri"/>
        <family val="2"/>
        <charset val="1"/>
      </rPr>
      <t xml:space="preserve">Weekly Meeting </t>
    </r>
    <r>
      <rPr>
        <sz val="11"/>
        <color theme="1"/>
        <rFont val="Noto Sans CJK SC"/>
        <family val="2"/>
      </rPr>
      <t xml:space="preserve">형식</t>
    </r>
    <r>
      <rPr>
        <sz val="11"/>
        <color theme="1"/>
        <rFont val="Calibri"/>
        <family val="2"/>
        <charset val="1"/>
      </rPr>
      <t xml:space="preserve">, Reporting Frequency, Escalation Path, Dashboard</t>
    </r>
  </si>
  <si>
    <t xml:space="preserve">F2-1</t>
  </si>
  <si>
    <t xml:space="preserve">F2. Quality Management</t>
  </si>
  <si>
    <t xml:space="preserve">Review Process</t>
  </si>
  <si>
    <t xml:space="preserve">Quality Review Process</t>
  </si>
  <si>
    <t xml:space="preserve">QA review process standards</t>
  </si>
  <si>
    <r>
      <rPr>
        <sz val="11"/>
        <color theme="1"/>
        <rFont val="Calibri"/>
        <family val="2"/>
        <charset val="1"/>
      </rPr>
      <t xml:space="preserve">Review </t>
    </r>
    <r>
      <rPr>
        <sz val="11"/>
        <color theme="1"/>
        <rFont val="Noto Sans CJK SC"/>
        <family val="2"/>
      </rPr>
      <t xml:space="preserve">시점</t>
    </r>
    <r>
      <rPr>
        <sz val="11"/>
        <color theme="1"/>
        <rFont val="Calibri"/>
        <family val="2"/>
        <charset val="1"/>
      </rPr>
      <t xml:space="preserve">, Reviewer </t>
    </r>
    <r>
      <rPr>
        <sz val="11"/>
        <color theme="1"/>
        <rFont val="Noto Sans CJK SC"/>
        <family val="2"/>
      </rPr>
      <t xml:space="preserve">지정</t>
    </r>
    <r>
      <rPr>
        <sz val="11"/>
        <color theme="1"/>
        <rFont val="Calibri"/>
        <family val="2"/>
        <charset val="1"/>
      </rPr>
      <t xml:space="preserve">, Checklist, Feedback Loop, Approval</t>
    </r>
  </si>
  <si>
    <t xml:space="preserve">F2-2</t>
  </si>
  <si>
    <t xml:space="preserve">Standards</t>
  </si>
  <si>
    <t xml:space="preserve">Deliverable Standards</t>
  </si>
  <si>
    <t xml:space="preserve">Quality standards for all deliverables</t>
  </si>
  <si>
    <r>
      <rPr>
        <sz val="11"/>
        <color theme="1"/>
        <rFont val="Noto Sans CJK SC"/>
        <family val="2"/>
      </rPr>
      <t xml:space="preserve">문서 품질기준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코드 품질기준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프레젠테이션 기준</t>
    </r>
  </si>
  <si>
    <t xml:space="preserve">F3-1</t>
  </si>
  <si>
    <t xml:space="preserve">F3. Knowledge Management</t>
  </si>
  <si>
    <t xml:space="preserve">Capture Process</t>
  </si>
  <si>
    <t xml:space="preserve">Knowledge Capture Process</t>
  </si>
  <si>
    <t xml:space="preserve">Process for capturing project learnings</t>
  </si>
  <si>
    <r>
      <rPr>
        <sz val="11"/>
        <color theme="1"/>
        <rFont val="Noto Sans CJK SC"/>
        <family val="2"/>
      </rPr>
      <t xml:space="preserve">프로젝트 종료 시 수행사항</t>
    </r>
    <r>
      <rPr>
        <sz val="11"/>
        <color theme="1"/>
        <rFont val="Calibri"/>
        <family val="2"/>
        <charset val="1"/>
      </rPr>
      <t xml:space="preserve">, Lessons Learned Session, </t>
    </r>
    <r>
      <rPr>
        <sz val="11"/>
        <color theme="1"/>
        <rFont val="Noto Sans CJK SC"/>
        <family val="2"/>
      </rPr>
      <t xml:space="preserve">지식자산 업데이트</t>
    </r>
  </si>
  <si>
    <t xml:space="preserve">F3-2</t>
  </si>
  <si>
    <t xml:space="preserve">Repository</t>
  </si>
  <si>
    <t xml:space="preserve">Knowledge Repository Structure</t>
  </si>
  <si>
    <t xml:space="preserve">Standards for knowledge organization</t>
  </si>
  <si>
    <r>
      <rPr>
        <sz val="11"/>
        <color theme="1"/>
        <rFont val="Noto Sans CJK SC"/>
        <family val="2"/>
      </rPr>
      <t xml:space="preserve">폴더구조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명명규칙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접근권한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버전관리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검색 태그체계</t>
    </r>
  </si>
  <si>
    <t xml:space="preserve">F3-3</t>
  </si>
  <si>
    <t xml:space="preserve">Improvement</t>
  </si>
  <si>
    <t xml:space="preserve">Continuous Improvement Process</t>
  </si>
  <si>
    <t xml:space="preserve">Process for ongoing improvement</t>
  </si>
  <si>
    <r>
      <rPr>
        <sz val="11"/>
        <color theme="1"/>
        <rFont val="Noto Sans CJK SC"/>
        <family val="2"/>
      </rPr>
      <t xml:space="preserve">분기별 </t>
    </r>
    <r>
      <rPr>
        <sz val="11"/>
        <color theme="1"/>
        <rFont val="Calibri"/>
        <family val="2"/>
        <charset val="1"/>
      </rPr>
      <t xml:space="preserve">Review, </t>
    </r>
    <r>
      <rPr>
        <sz val="11"/>
        <color theme="1"/>
        <rFont val="Noto Sans CJK SC"/>
        <family val="2"/>
      </rPr>
      <t xml:space="preserve">방법론 업데이트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템플릿 개선</t>
    </r>
    <r>
      <rPr>
        <sz val="11"/>
        <color theme="1"/>
        <rFont val="Calibri"/>
        <family val="2"/>
        <charset val="1"/>
      </rPr>
      <t xml:space="preserve">, Best Practice </t>
    </r>
    <r>
      <rPr>
        <sz val="11"/>
        <color theme="1"/>
        <rFont val="Noto Sans CJK SC"/>
        <family val="2"/>
      </rPr>
      <t xml:space="preserve">공유</t>
    </r>
  </si>
  <si>
    <t xml:space="preserve">G1-1</t>
  </si>
  <si>
    <t xml:space="preserve">G1. Competency Framework</t>
  </si>
  <si>
    <t xml:space="preserve">Model</t>
  </si>
  <si>
    <t xml:space="preserve">Consultant Competency Model</t>
  </si>
  <si>
    <t xml:space="preserve">Comprehensive competency framework</t>
  </si>
  <si>
    <r>
      <rPr>
        <sz val="11"/>
        <color theme="1"/>
        <rFont val="Calibri"/>
        <family val="2"/>
        <charset val="1"/>
      </rPr>
      <t xml:space="preserve">3 Levels, 5 Competency Areas, </t>
    </r>
    <r>
      <rPr>
        <sz val="11"/>
        <color theme="1"/>
        <rFont val="Noto Sans CJK SC"/>
        <family val="2"/>
      </rPr>
      <t xml:space="preserve">레벨별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영역별 매트릭스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행동지표</t>
    </r>
  </si>
  <si>
    <t xml:space="preserve">G1-2</t>
  </si>
  <si>
    <t xml:space="preserve">Roles</t>
  </si>
  <si>
    <t xml:space="preserve">Role Profiles</t>
  </si>
  <si>
    <t xml:space="preserve">Detailed role definitions</t>
  </si>
  <si>
    <r>
      <rPr>
        <sz val="11"/>
        <color theme="1"/>
        <rFont val="Calibri"/>
        <family val="2"/>
        <charset val="1"/>
      </rPr>
      <t xml:space="preserve">Strategy/Architecture/Engineer/Data Scientist/Governance Consultant - </t>
    </r>
    <r>
      <rPr>
        <sz val="11"/>
        <color theme="1"/>
        <rFont val="Noto Sans CJK SC"/>
        <family val="2"/>
      </rPr>
      <t xml:space="preserve">각 </t>
    </r>
    <r>
      <rPr>
        <sz val="11"/>
        <color theme="1"/>
        <rFont val="Calibri"/>
        <family val="2"/>
        <charset val="1"/>
      </rPr>
      <t xml:space="preserve">Role</t>
    </r>
    <r>
      <rPr>
        <sz val="11"/>
        <color theme="1"/>
        <rFont val="Noto Sans CJK SC"/>
        <family val="2"/>
      </rPr>
      <t xml:space="preserve">별 상세</t>
    </r>
  </si>
  <si>
    <t xml:space="preserve">G2-1</t>
  </si>
  <si>
    <t xml:space="preserve">G2. Hiring &amp; Onboarding</t>
  </si>
  <si>
    <t xml:space="preserve">Hiring</t>
  </si>
  <si>
    <t xml:space="preserve">Hiring Guide</t>
  </si>
  <si>
    <t xml:space="preserve">Hiring process and standards</t>
  </si>
  <si>
    <r>
      <rPr>
        <sz val="11"/>
        <color theme="1"/>
        <rFont val="Calibri"/>
        <family val="2"/>
        <charset val="1"/>
      </rPr>
      <t xml:space="preserve">Job Description </t>
    </r>
    <r>
      <rPr>
        <sz val="11"/>
        <color theme="1"/>
        <rFont val="Noto Sans CJK SC"/>
        <family val="2"/>
      </rPr>
      <t xml:space="preserve">템플릿</t>
    </r>
    <r>
      <rPr>
        <sz val="11"/>
        <color theme="1"/>
        <rFont val="Calibri"/>
        <family val="2"/>
        <charset val="1"/>
      </rPr>
      <t xml:space="preserve">, Interview Questions (50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평가기준표</t>
    </r>
    <r>
      <rPr>
        <sz val="11"/>
        <color theme="1"/>
        <rFont val="Calibri"/>
        <family val="2"/>
        <charset val="1"/>
      </rPr>
      <t xml:space="preserve">, Case Interview</t>
    </r>
  </si>
  <si>
    <t xml:space="preserve">G2-2</t>
  </si>
  <si>
    <t xml:space="preserve">Onboarding</t>
  </si>
  <si>
    <t xml:space="preserve">Onboarding Program</t>
  </si>
  <si>
    <t xml:space="preserve">8-week onboarding program</t>
  </si>
  <si>
    <r>
      <rPr>
        <sz val="11"/>
        <color theme="1"/>
        <rFont val="Calibri"/>
        <family val="2"/>
        <charset val="1"/>
      </rPr>
      <t xml:space="preserve">Week 1-2: </t>
    </r>
    <r>
      <rPr>
        <sz val="11"/>
        <color theme="1"/>
        <rFont val="Noto Sans CJK SC"/>
        <family val="2"/>
      </rPr>
      <t xml:space="preserve">방법론</t>
    </r>
    <r>
      <rPr>
        <sz val="11"/>
        <color theme="1"/>
        <rFont val="Calibri"/>
        <family val="2"/>
        <charset val="1"/>
      </rPr>
      <t xml:space="preserve">, Week 3-4: Shadow, Week 5-8: </t>
    </r>
    <r>
      <rPr>
        <sz val="11"/>
        <color theme="1"/>
        <rFont val="Noto Sans CJK SC"/>
        <family val="2"/>
      </rPr>
      <t xml:space="preserve">참여</t>
    </r>
    <r>
      <rPr>
        <sz val="11"/>
        <color theme="1"/>
        <rFont val="Calibri"/>
        <family val="2"/>
        <charset val="1"/>
      </rPr>
      <t xml:space="preserve">, Buddy System, </t>
    </r>
    <r>
      <rPr>
        <sz val="11"/>
        <color theme="1"/>
        <rFont val="Noto Sans CJK SC"/>
        <family val="2"/>
      </rPr>
      <t xml:space="preserve">평가</t>
    </r>
  </si>
  <si>
    <t xml:space="preserve">G3-1</t>
  </si>
  <si>
    <t xml:space="preserve">G3. Training</t>
  </si>
  <si>
    <t xml:space="preserve">Curriculum</t>
  </si>
  <si>
    <t xml:space="preserve">Internal Training Curriculum</t>
  </si>
  <si>
    <t xml:space="preserve">Complete training program</t>
  </si>
  <si>
    <t xml:space="preserve">5 Modules: Consulting, AI/ML, Methodology, Tools, Advanced Topics</t>
  </si>
  <si>
    <t xml:space="preserve">G3-2</t>
  </si>
  <si>
    <t xml:space="preserve">Development Paths</t>
  </si>
  <si>
    <t xml:space="preserve">Skill Development Paths</t>
  </si>
  <si>
    <t xml:space="preserve">Career progression learning paths</t>
  </si>
  <si>
    <r>
      <rPr>
        <sz val="11"/>
        <color theme="1"/>
        <rFont val="Calibri"/>
        <family val="2"/>
        <charset val="1"/>
      </rPr>
      <t xml:space="preserve">Junior→Senior (12-24mo), Senior→Principal (24-36mo), </t>
    </r>
    <r>
      <rPr>
        <sz val="11"/>
        <color theme="1"/>
        <rFont val="Noto Sans CJK SC"/>
        <family val="2"/>
      </rPr>
      <t xml:space="preserve">필수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선택 학습</t>
    </r>
  </si>
  <si>
    <t xml:space="preserve">H1-1</t>
  </si>
  <si>
    <t xml:space="preserve">H1. Infrastructure</t>
  </si>
  <si>
    <t xml:space="preserve">Collaboration</t>
  </si>
  <si>
    <t xml:space="preserve">Collaboration Platform</t>
  </si>
  <si>
    <t xml:space="preserve">Setup for knowledge and collaboration tools</t>
  </si>
  <si>
    <t xml:space="preserve">Knowledge Repository (Notion/Confluence), File Storage, Version Control, Communication</t>
  </si>
  <si>
    <r>
      <rPr>
        <sz val="11"/>
        <color theme="1"/>
        <rFont val="Calibri"/>
        <family val="2"/>
        <charset val="1"/>
      </rPr>
      <t xml:space="preserve">Setup </t>
    </r>
    <r>
      <rPr>
        <sz val="11"/>
        <color theme="1"/>
        <rFont val="Noto Sans CJK SC"/>
        <family val="2"/>
      </rPr>
      <t xml:space="preserve">필요</t>
    </r>
  </si>
  <si>
    <t xml:space="preserve">H1-2</t>
  </si>
  <si>
    <t xml:space="preserve">Project Management Tools</t>
  </si>
  <si>
    <t xml:space="preserve">PM tool configuration</t>
  </si>
  <si>
    <t xml:space="preserve">Task Management (Jira/Asana), Timeline, Time Tracking</t>
  </si>
  <si>
    <t xml:space="preserve">H1-3</t>
  </si>
  <si>
    <t xml:space="preserve">CRM</t>
  </si>
  <si>
    <t xml:space="preserve">Proposal &amp; CRM System</t>
  </si>
  <si>
    <t xml:space="preserve">Sales and proposal management</t>
  </si>
  <si>
    <t xml:space="preserve">CRM (HubSpot/Salesforce lite), Proposal Tool (PandaDoc), Contracting (DocuSign)</t>
  </si>
  <si>
    <t xml:space="preserve">H2-1</t>
  </si>
  <si>
    <t xml:space="preserve">H2. Template Management</t>
  </si>
  <si>
    <t xml:space="preserve">Library System</t>
  </si>
  <si>
    <t xml:space="preserve">Template Library System</t>
  </si>
  <si>
    <t xml:space="preserve">Central template management system</t>
  </si>
  <si>
    <r>
      <rPr>
        <sz val="11"/>
        <color theme="1"/>
        <rFont val="Noto Sans CJK SC"/>
        <family val="2"/>
      </rPr>
      <t xml:space="preserve">중앙 저장소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카테고리 분류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버전관리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업데이트 프로세스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접근권한</t>
    </r>
  </si>
  <si>
    <t xml:space="preserve">H2-2</t>
  </si>
  <si>
    <t xml:space="preserve">Brand Assets</t>
  </si>
  <si>
    <t xml:space="preserve">Branding and design assets</t>
  </si>
  <si>
    <r>
      <rPr>
        <sz val="11"/>
        <color theme="1"/>
        <rFont val="Noto Sans CJK SC"/>
        <family val="2"/>
      </rPr>
      <t xml:space="preserve">로고</t>
    </r>
    <r>
      <rPr>
        <sz val="11"/>
        <color theme="1"/>
        <rFont val="Calibri"/>
        <family val="2"/>
        <charset val="1"/>
      </rPr>
      <t xml:space="preserve">, PPT </t>
    </r>
    <r>
      <rPr>
        <sz val="11"/>
        <color theme="1"/>
        <rFont val="Noto Sans CJK SC"/>
        <family val="2"/>
      </rPr>
      <t xml:space="preserve">마스터템플릿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색상팔레트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폰트가이드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아이콘 라이브러리</t>
    </r>
  </si>
  <si>
    <t xml:space="preserve">디자인 외주</t>
  </si>
  <si>
    <t xml:space="preserve">Phase</t>
  </si>
  <si>
    <t xml:space="preserve">Asset ID</t>
  </si>
  <si>
    <t xml:space="preserve">Dependencies</t>
  </si>
  <si>
    <t xml:space="preserve">Target Timeline</t>
  </si>
  <si>
    <t xml:space="preserve">Phase 1</t>
  </si>
  <si>
    <t xml:space="preserve">Critical</t>
  </si>
  <si>
    <r>
      <rPr>
        <sz val="11"/>
        <color theme="1"/>
        <rFont val="Calibri"/>
        <family val="2"/>
        <charset val="1"/>
      </rPr>
      <t xml:space="preserve">Core IP - 5C Framework </t>
    </r>
    <r>
      <rPr>
        <sz val="11"/>
        <color theme="1"/>
        <rFont val="Noto Sans CJK SC"/>
        <family val="2"/>
      </rPr>
      <t xml:space="preserve">완성</t>
    </r>
  </si>
  <si>
    <t xml:space="preserve">Month 1-2</t>
  </si>
  <si>
    <r>
      <rPr>
        <sz val="11"/>
        <color theme="1"/>
        <rFont val="Calibri"/>
        <family val="2"/>
        <charset val="1"/>
      </rPr>
      <t xml:space="preserve">Context Engineering </t>
    </r>
    <r>
      <rPr>
        <sz val="11"/>
        <color theme="1"/>
        <rFont val="Noto Sans CJK SC"/>
        <family val="2"/>
      </rPr>
      <t xml:space="preserve">방법론 완성</t>
    </r>
  </si>
  <si>
    <t xml:space="preserve">Playbook</t>
  </si>
  <si>
    <r>
      <rPr>
        <sz val="11"/>
        <color theme="1"/>
        <rFont val="Calibri"/>
        <family val="2"/>
        <charset val="1"/>
      </rPr>
      <t xml:space="preserve">Context </t>
    </r>
    <r>
      <rPr>
        <sz val="11"/>
        <color theme="1"/>
        <rFont val="Noto Sans CJK SC"/>
        <family val="2"/>
      </rPr>
      <t xml:space="preserve">시스템 구현 가이드</t>
    </r>
  </si>
  <si>
    <t xml:space="preserve">Month 2</t>
  </si>
  <si>
    <r>
      <rPr>
        <sz val="11"/>
        <color theme="1"/>
        <rFont val="Calibri"/>
        <family val="2"/>
        <charset val="1"/>
      </rPr>
      <t xml:space="preserve">Platform </t>
    </r>
    <r>
      <rPr>
        <sz val="11"/>
        <color theme="1"/>
        <rFont val="Noto Sans CJK SC"/>
        <family val="2"/>
      </rPr>
      <t xml:space="preserve">설계 플레이북</t>
    </r>
  </si>
  <si>
    <t xml:space="preserve">A1-1, A1-2</t>
  </si>
  <si>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시스템 설계 방법론</t>
    </r>
  </si>
  <si>
    <t xml:space="preserve">Knowledge</t>
  </si>
  <si>
    <r>
      <rPr>
        <sz val="11"/>
        <color theme="1"/>
        <rFont val="Calibri"/>
        <family val="2"/>
        <charset val="1"/>
      </rPr>
      <t xml:space="preserve">Case study </t>
    </r>
    <r>
      <rPr>
        <sz val="11"/>
        <color theme="1"/>
        <rFont val="Noto Sans CJK SC"/>
        <family val="2"/>
      </rPr>
      <t xml:space="preserve">템플릿</t>
    </r>
  </si>
  <si>
    <t xml:space="preserve">Month 1</t>
  </si>
  <si>
    <r>
      <rPr>
        <sz val="11"/>
        <color theme="1"/>
        <rFont val="Calibri"/>
        <family val="2"/>
        <charset val="1"/>
      </rPr>
      <t xml:space="preserve">Case study 2-3</t>
    </r>
    <r>
      <rPr>
        <sz val="11"/>
        <color theme="1"/>
        <rFont val="Noto Sans CJK SC"/>
        <family val="2"/>
      </rPr>
      <t xml:space="preserve">개 작성</t>
    </r>
  </si>
  <si>
    <t xml:space="preserve">Month 2-3</t>
  </si>
  <si>
    <t xml:space="preserve">실제 프로젝트 필요</t>
  </si>
  <si>
    <t xml:space="preserve">Phase 2</t>
  </si>
  <si>
    <r>
      <rPr>
        <sz val="11"/>
        <color theme="1"/>
        <rFont val="Calibri"/>
        <family val="2"/>
        <charset val="1"/>
      </rPr>
      <t xml:space="preserve">Maturity </t>
    </r>
    <r>
      <rPr>
        <sz val="11"/>
        <color theme="1"/>
        <rFont val="Noto Sans CJK SC"/>
        <family val="2"/>
      </rPr>
      <t xml:space="preserve">평가 도구</t>
    </r>
  </si>
  <si>
    <t xml:space="preserve">Month 3</t>
  </si>
  <si>
    <t xml:space="preserve">인터뷰 가이드</t>
  </si>
  <si>
    <r>
      <rPr>
        <sz val="11"/>
        <color theme="1"/>
        <rFont val="Calibri"/>
        <family val="2"/>
        <charset val="1"/>
      </rPr>
      <t xml:space="preserve">Use case </t>
    </r>
    <r>
      <rPr>
        <sz val="11"/>
        <color theme="1"/>
        <rFont val="Noto Sans CJK SC"/>
        <family val="2"/>
      </rPr>
      <t xml:space="preserve">정의 템플릿</t>
    </r>
  </si>
  <si>
    <r>
      <rPr>
        <sz val="11"/>
        <color theme="1"/>
        <rFont val="Calibri"/>
        <family val="2"/>
        <charset val="1"/>
      </rPr>
      <t xml:space="preserve">Prioritization </t>
    </r>
    <r>
      <rPr>
        <sz val="11"/>
        <color theme="1"/>
        <rFont val="Noto Sans CJK SC"/>
        <family val="2"/>
      </rPr>
      <t xml:space="preserve">도구</t>
    </r>
  </si>
  <si>
    <r>
      <rPr>
        <sz val="11"/>
        <color theme="1"/>
        <rFont val="Calibri"/>
        <family val="2"/>
        <charset val="1"/>
      </rPr>
      <t xml:space="preserve">Maturity </t>
    </r>
    <r>
      <rPr>
        <sz val="11"/>
        <color theme="1"/>
        <rFont val="Noto Sans CJK SC"/>
        <family val="2"/>
      </rPr>
      <t xml:space="preserve">평가 프레임워크</t>
    </r>
  </si>
  <si>
    <r>
      <rPr>
        <sz val="11"/>
        <color theme="1"/>
        <rFont val="Calibri"/>
        <family val="2"/>
        <charset val="1"/>
      </rPr>
      <t xml:space="preserve">Use case </t>
    </r>
    <r>
      <rPr>
        <sz val="11"/>
        <color theme="1"/>
        <rFont val="Noto Sans CJK SC"/>
        <family val="2"/>
      </rPr>
      <t xml:space="preserve">평가 프레임워크</t>
    </r>
  </si>
  <si>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구현 가이드</t>
    </r>
  </si>
  <si>
    <r>
      <rPr>
        <sz val="11"/>
        <color theme="1"/>
        <rFont val="Calibri"/>
        <family val="2"/>
        <charset val="1"/>
      </rPr>
      <t xml:space="preserve">Solution </t>
    </r>
    <r>
      <rPr>
        <sz val="11"/>
        <color theme="1"/>
        <rFont val="Noto Sans CJK SC"/>
        <family val="2"/>
      </rPr>
      <t xml:space="preserve">구현 플레이북</t>
    </r>
  </si>
  <si>
    <t xml:space="preserve">A4-1, C2-2</t>
  </si>
  <si>
    <t xml:space="preserve">Month 3-4</t>
  </si>
  <si>
    <t xml:space="preserve">Sales</t>
  </si>
  <si>
    <t xml:space="preserve">회사 소개 자료</t>
  </si>
  <si>
    <t xml:space="preserve">제안서 템플릿</t>
  </si>
  <si>
    <t xml:space="preserve">Phase 3</t>
  </si>
  <si>
    <r>
      <rPr>
        <sz val="11"/>
        <color theme="1"/>
        <rFont val="Calibri"/>
        <family val="2"/>
        <charset val="1"/>
      </rPr>
      <t xml:space="preserve">Risk </t>
    </r>
    <r>
      <rPr>
        <sz val="11"/>
        <color theme="1"/>
        <rFont val="Noto Sans CJK SC"/>
        <family val="2"/>
      </rPr>
      <t xml:space="preserve">평가 프레임워크</t>
    </r>
  </si>
  <si>
    <t xml:space="preserve">Month 4</t>
  </si>
  <si>
    <r>
      <rPr>
        <sz val="11"/>
        <color theme="1"/>
        <rFont val="Calibri"/>
        <family val="2"/>
        <charset val="1"/>
      </rPr>
      <t xml:space="preserve">Risk </t>
    </r>
    <r>
      <rPr>
        <sz val="11"/>
        <color theme="1"/>
        <rFont val="Noto Sans CJK SC"/>
        <family val="2"/>
      </rPr>
      <t xml:space="preserve">관리 템플릿</t>
    </r>
  </si>
  <si>
    <r>
      <rPr>
        <sz val="11"/>
        <color theme="1"/>
        <rFont val="Calibri"/>
        <family val="2"/>
        <charset val="1"/>
      </rPr>
      <t xml:space="preserve">Risk </t>
    </r>
    <r>
      <rPr>
        <sz val="11"/>
        <color theme="1"/>
        <rFont val="Noto Sans CJK SC"/>
        <family val="2"/>
      </rPr>
      <t xml:space="preserve">평가 워크시트</t>
    </r>
  </si>
  <si>
    <r>
      <rPr>
        <sz val="11"/>
        <color theme="1"/>
        <rFont val="Calibri"/>
        <family val="2"/>
        <charset val="1"/>
      </rPr>
      <t xml:space="preserve">Platform </t>
    </r>
    <r>
      <rPr>
        <sz val="11"/>
        <color theme="1"/>
        <rFont val="Noto Sans CJK SC"/>
        <family val="2"/>
      </rPr>
      <t xml:space="preserve">아키텍처</t>
    </r>
  </si>
  <si>
    <t xml:space="preserve">Month 4-5</t>
  </si>
  <si>
    <r>
      <rPr>
        <sz val="11"/>
        <color theme="1"/>
        <rFont val="Calibri"/>
        <family val="2"/>
        <charset val="1"/>
      </rPr>
      <t xml:space="preserve">MLOps </t>
    </r>
    <r>
      <rPr>
        <sz val="11"/>
        <color theme="1"/>
        <rFont val="Noto Sans CJK SC"/>
        <family val="2"/>
      </rPr>
      <t xml:space="preserve">아키텍처</t>
    </r>
  </si>
  <si>
    <t xml:space="preserve">Month 5</t>
  </si>
  <si>
    <r>
      <rPr>
        <sz val="11"/>
        <color theme="1"/>
        <rFont val="Calibri"/>
        <family val="2"/>
        <charset val="1"/>
      </rPr>
      <t xml:space="preserve">Strategy </t>
    </r>
    <r>
      <rPr>
        <sz val="11"/>
        <color theme="1"/>
        <rFont val="Noto Sans CJK SC"/>
        <family val="2"/>
      </rPr>
      <t xml:space="preserve">플레이북</t>
    </r>
  </si>
  <si>
    <t xml:space="preserve">A2-1, A2-2</t>
  </si>
  <si>
    <r>
      <rPr>
        <sz val="11"/>
        <color theme="1"/>
        <rFont val="Calibri"/>
        <family val="2"/>
        <charset val="1"/>
      </rPr>
      <t xml:space="preserve">Platform </t>
    </r>
    <r>
      <rPr>
        <sz val="11"/>
        <color theme="1"/>
        <rFont val="Noto Sans CJK SC"/>
        <family val="2"/>
      </rPr>
      <t xml:space="preserve">서비스 소개</t>
    </r>
  </si>
  <si>
    <t xml:space="preserve">Ongoing</t>
  </si>
  <si>
    <r>
      <rPr>
        <sz val="11"/>
        <color theme="1"/>
        <rFont val="Calibri"/>
        <family val="2"/>
        <charset val="1"/>
      </rPr>
      <t xml:space="preserve">Best practices </t>
    </r>
    <r>
      <rPr>
        <sz val="11"/>
        <color theme="1"/>
        <rFont val="Noto Sans CJK SC"/>
        <family val="2"/>
      </rPr>
      <t xml:space="preserve">수집</t>
    </r>
  </si>
  <si>
    <t xml:space="preserve">Continuous</t>
  </si>
  <si>
    <r>
      <rPr>
        <sz val="11"/>
        <color theme="1"/>
        <rFont val="Calibri"/>
        <family val="2"/>
        <charset val="1"/>
      </rPr>
      <t xml:space="preserve">Pitfalls </t>
    </r>
    <r>
      <rPr>
        <sz val="11"/>
        <color theme="1"/>
        <rFont val="Noto Sans CJK SC"/>
        <family val="2"/>
      </rPr>
      <t xml:space="preserve">데이터베이스</t>
    </r>
  </si>
  <si>
    <t xml:space="preserve">기술 카탈로그</t>
  </si>
  <si>
    <t xml:space="preserve">Quarterly Update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</si>
</sst>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7E6E6"/>
        <bgColor rgb="FFE2EFDA"/>
      </patternFill>
    </fill>
    <fill>
      <patternFill patternType="solid">
        <fgColor rgb="FFFFE699"/>
        <bgColor rgb="FFFFCC99"/>
      </patternFill>
    </fill>
    <fill>
      <patternFill patternType="solid">
        <fgColor rgb="FFD9E1F2"/>
        <bgColor rgb="FFE7E6E6"/>
      </patternFill>
    </fill>
    <fill>
      <patternFill patternType="solid">
        <fgColor rgb="FFE2EFDA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8" min="5" style="0" width="12"/>
    <col collapsed="false" customWidth="true" hidden="false" outlineLevel="0" max="9" min="9" style="0" width="15"/>
    <col collapsed="false" customWidth="true" hidden="false" outlineLevel="0" max="10" min="10" style="0" width="4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f aca="false">COUNTA(A_Methodology!A:A)-1</f>
        <v>14</v>
      </c>
      <c r="C2" s="0" t="n">
        <f aca="false">COUNTIF(A_Methodology!G:G,"High")</f>
        <v>7</v>
      </c>
      <c r="D2" s="0" t="n">
        <f aca="false">COUNTIF(A_Methodology!G:G,"Medium")</f>
        <v>7</v>
      </c>
      <c r="E2" s="0" t="n">
        <f aca="false">COUNTIF(A_Methodology!G:G,"Low")</f>
        <v>0</v>
      </c>
      <c r="F2" s="0" t="n">
        <f aca="false">COUNTIF(A_Methodology!H:H,"Complete")</f>
        <v>0</v>
      </c>
      <c r="G2" s="0" t="n">
        <f aca="false">COUNTIF(A_Methodology!H:H,"In Progress")</f>
        <v>0</v>
      </c>
      <c r="H2" s="0" t="n">
        <f aca="false">COUNTIF(A_Methodology!H:H,"Not Started")</f>
        <v>14</v>
      </c>
      <c r="I2" s="2" t="n">
        <f aca="false">IF(B2&gt;0,F2/B2,0)</f>
        <v>0</v>
      </c>
    </row>
    <row r="3" customFormat="false" ht="15" hidden="false" customHeight="false" outlineLevel="0" collapsed="false">
      <c r="A3" s="0" t="s">
        <v>11</v>
      </c>
      <c r="B3" s="0" t="n">
        <f aca="false">COUNTA(B_Templates!A:A)-1</f>
        <v>33</v>
      </c>
      <c r="C3" s="0" t="n">
        <f aca="false">COUNTIF(B_Templates!G:G,"High")</f>
        <v>15</v>
      </c>
      <c r="D3" s="0" t="n">
        <f aca="false">COUNTIF(B_Templates!G:G,"Medium")</f>
        <v>18</v>
      </c>
      <c r="E3" s="0" t="n">
        <f aca="false">COUNTIF(B_Templates!G:G,"Low")</f>
        <v>0</v>
      </c>
      <c r="F3" s="0" t="n">
        <f aca="false">COUNTIF(B_Templates!H:H,"Complete")</f>
        <v>0</v>
      </c>
      <c r="G3" s="0" t="n">
        <f aca="false">COUNTIF(B_Templates!H:H,"In Progress")</f>
        <v>0</v>
      </c>
      <c r="H3" s="0" t="n">
        <f aca="false">COUNTIF(B_Templates!H:H,"Not Started")</f>
        <v>33</v>
      </c>
      <c r="I3" s="2" t="n">
        <f aca="false">IF(B3&gt;0,F3/B3,0)</f>
        <v>0</v>
      </c>
    </row>
    <row r="4" customFormat="false" ht="15" hidden="false" customHeight="false" outlineLevel="0" collapsed="false">
      <c r="A4" s="0" t="s">
        <v>12</v>
      </c>
      <c r="B4" s="0" t="n">
        <f aca="false">COUNTA(C_Playbooks!A:A)-1</f>
        <v>17</v>
      </c>
      <c r="C4" s="0" t="n">
        <f aca="false">COUNTIF(C_Playbooks!G:G,"High")</f>
        <v>9</v>
      </c>
      <c r="D4" s="0" t="n">
        <f aca="false">COUNTIF(C_Playbooks!G:G,"Medium")</f>
        <v>7</v>
      </c>
      <c r="E4" s="0" t="n">
        <f aca="false">COUNTIF(C_Playbooks!G:G,"Low")</f>
        <v>1</v>
      </c>
      <c r="F4" s="0" t="n">
        <f aca="false">COUNTIF(C_Playbooks!H:H,"Complete")</f>
        <v>0</v>
      </c>
      <c r="G4" s="0" t="n">
        <f aca="false">COUNTIF(C_Playbooks!H:H,"In Progress")</f>
        <v>0</v>
      </c>
      <c r="H4" s="0" t="n">
        <f aca="false">COUNTIF(C_Playbooks!H:H,"Not Started")</f>
        <v>17</v>
      </c>
      <c r="I4" s="2" t="n">
        <f aca="false">IF(B4&gt;0,F4/B4,0)</f>
        <v>0</v>
      </c>
    </row>
    <row r="5" customFormat="false" ht="15" hidden="false" customHeight="false" outlineLevel="0" collapsed="false">
      <c r="A5" s="0" t="s">
        <v>13</v>
      </c>
      <c r="B5" s="0" t="n">
        <f aca="false">COUNTA(D_Knowledge!A:A)-1</f>
        <v>13</v>
      </c>
      <c r="C5" s="0" t="n">
        <f aca="false">COUNTIF(D_Knowledge!G:G,"High")</f>
        <v>3</v>
      </c>
      <c r="D5" s="0" t="n">
        <f aca="false">COUNTIF(D_Knowledge!G:G,"Medium")</f>
        <v>7</v>
      </c>
      <c r="E5" s="0" t="n">
        <f aca="false">COUNTIF(D_Knowledge!G:G,"Low")</f>
        <v>3</v>
      </c>
      <c r="F5" s="0" t="n">
        <f aca="false">COUNTIF(D_Knowledge!H:H,"Complete")</f>
        <v>0</v>
      </c>
      <c r="G5" s="0" t="n">
        <f aca="false">COUNTIF(D_Knowledge!H:H,"In Progress")</f>
        <v>0</v>
      </c>
      <c r="H5" s="0" t="n">
        <f aca="false">COUNTIF(D_Knowledge!H:H,"Not Started")</f>
        <v>13</v>
      </c>
      <c r="I5" s="2" t="n">
        <f aca="false">IF(B5&gt;0,F5/B5,0)</f>
        <v>0</v>
      </c>
    </row>
    <row r="6" customFormat="false" ht="15" hidden="false" customHeight="false" outlineLevel="0" collapsed="false">
      <c r="A6" s="0" t="s">
        <v>14</v>
      </c>
      <c r="B6" s="0" t="n">
        <f aca="false">COUNTA(E_Sales!A:A)-1</f>
        <v>14</v>
      </c>
      <c r="C6" s="0" t="n">
        <f aca="false">COUNTIF(E_Sales!G:G,"High")</f>
        <v>8</v>
      </c>
      <c r="D6" s="0" t="n">
        <f aca="false">COUNTIF(E_Sales!G:G,"Medium")</f>
        <v>4</v>
      </c>
      <c r="E6" s="0" t="n">
        <f aca="false">COUNTIF(E_Sales!G:G,"Low")</f>
        <v>2</v>
      </c>
      <c r="F6" s="0" t="n">
        <f aca="false">COUNTIF(E_Sales!H:H,"Complete")</f>
        <v>0</v>
      </c>
      <c r="G6" s="0" t="n">
        <f aca="false">COUNTIF(E_Sales!H:H,"In Progress")</f>
        <v>0</v>
      </c>
      <c r="H6" s="0" t="n">
        <f aca="false">COUNTIF(E_Sales!H:H,"Not Started")</f>
        <v>14</v>
      </c>
      <c r="I6" s="2" t="n">
        <f aca="false">IF(B6&gt;0,F6/B6,0)</f>
        <v>0</v>
      </c>
    </row>
    <row r="7" customFormat="false" ht="15" hidden="false" customHeight="false" outlineLevel="0" collapsed="false">
      <c r="A7" s="0" t="s">
        <v>15</v>
      </c>
      <c r="B7" s="0" t="n">
        <f aca="false">COUNTA(F_Operations!A:A)-1</f>
        <v>8</v>
      </c>
      <c r="C7" s="0" t="n">
        <f aca="false">COUNTIF(F_Operations!G:G,"High")</f>
        <v>3</v>
      </c>
      <c r="D7" s="0" t="n">
        <f aca="false">COUNTIF(F_Operations!G:G,"Medium")</f>
        <v>5</v>
      </c>
      <c r="E7" s="0" t="n">
        <f aca="false">COUNTIF(F_Operations!G:G,"Low")</f>
        <v>0</v>
      </c>
      <c r="F7" s="0" t="n">
        <f aca="false">COUNTIF(F_Operations!H:H,"Complete")</f>
        <v>0</v>
      </c>
      <c r="G7" s="0" t="n">
        <f aca="false">COUNTIF(F_Operations!H:H,"In Progress")</f>
        <v>0</v>
      </c>
      <c r="H7" s="0" t="n">
        <f aca="false">COUNTIF(F_Operations!H:H,"Not Started")</f>
        <v>8</v>
      </c>
      <c r="I7" s="2" t="n">
        <f aca="false">IF(B7&gt;0,F7/B7,0)</f>
        <v>0</v>
      </c>
    </row>
    <row r="8" customFormat="false" ht="15" hidden="false" customHeight="false" outlineLevel="0" collapsed="false">
      <c r="A8" s="0" t="s">
        <v>16</v>
      </c>
      <c r="B8" s="0" t="n">
        <f aca="false">COUNTA(G_People!A:A)-1</f>
        <v>6</v>
      </c>
      <c r="C8" s="0" t="n">
        <f aca="false">COUNTIF(G_People!G:G,"High")</f>
        <v>2</v>
      </c>
      <c r="D8" s="0" t="n">
        <f aca="false">COUNTIF(G_People!G:G,"Medium")</f>
        <v>4</v>
      </c>
      <c r="E8" s="0" t="n">
        <f aca="false">COUNTIF(G_People!G:G,"Low")</f>
        <v>0</v>
      </c>
      <c r="F8" s="0" t="n">
        <f aca="false">COUNTIF(G_People!H:H,"Complete")</f>
        <v>0</v>
      </c>
      <c r="G8" s="0" t="n">
        <f aca="false">COUNTIF(G_People!H:H,"In Progress")</f>
        <v>0</v>
      </c>
      <c r="H8" s="0" t="n">
        <f aca="false">COUNTIF(G_People!H:H,"Not Started")</f>
        <v>6</v>
      </c>
      <c r="I8" s="2" t="n">
        <f aca="false">IF(B8&gt;0,F8/B8,0)</f>
        <v>0</v>
      </c>
    </row>
    <row r="9" customFormat="false" ht="15" hidden="false" customHeight="false" outlineLevel="0" collapsed="false">
      <c r="A9" s="0" t="s">
        <v>17</v>
      </c>
      <c r="B9" s="0" t="n">
        <f aca="false">COUNTA(H_Systems!A:A)-1</f>
        <v>5</v>
      </c>
      <c r="C9" s="0" t="n">
        <f aca="false">COUNTIF(H_Systems!G:G,"High")</f>
        <v>2</v>
      </c>
      <c r="D9" s="0" t="n">
        <f aca="false">COUNTIF(H_Systems!G:G,"Medium")</f>
        <v>3</v>
      </c>
      <c r="E9" s="0" t="n">
        <f aca="false">COUNTIF(H_Systems!G:G,"Low")</f>
        <v>0</v>
      </c>
      <c r="F9" s="0" t="n">
        <f aca="false">COUNTIF(H_Systems!H:H,"Complete")</f>
        <v>0</v>
      </c>
      <c r="G9" s="0" t="n">
        <f aca="false">COUNTIF(H_Systems!H:H,"In Progress")</f>
        <v>0</v>
      </c>
      <c r="H9" s="0" t="n">
        <f aca="false">COUNTIF(H_Systems!H:H,"Not Started")</f>
        <v>5</v>
      </c>
      <c r="I9" s="2" t="n">
        <f aca="false">IF(B9&gt;0,F9/B9,0)</f>
        <v>0</v>
      </c>
    </row>
    <row r="10" customFormat="false" ht="15" hidden="false" customHeight="false" outlineLevel="0" collapsed="false">
      <c r="I10" s="2"/>
    </row>
    <row r="11" customFormat="false" ht="15" hidden="false" customHeight="false" outlineLevel="0" collapsed="false">
      <c r="A11" s="3" t="s">
        <v>18</v>
      </c>
      <c r="B11" s="3" t="n">
        <f aca="false">SUM(B2:B9)</f>
        <v>110</v>
      </c>
      <c r="C11" s="3" t="n">
        <f aca="false">SUM(C2:C9)</f>
        <v>49</v>
      </c>
      <c r="D11" s="3" t="n">
        <f aca="false">SUM(D2:D9)</f>
        <v>55</v>
      </c>
      <c r="E11" s="3" t="n">
        <f aca="false">SUM(E2:E9)</f>
        <v>6</v>
      </c>
      <c r="F11" s="3" t="n">
        <f aca="false">SUM(F2:F9)</f>
        <v>0</v>
      </c>
      <c r="G11" s="3" t="n">
        <f aca="false">SUM(G2:G9)</f>
        <v>0</v>
      </c>
      <c r="H11" s="3" t="n">
        <f aca="false">SUM(H2:H9)</f>
        <v>110</v>
      </c>
      <c r="I11" s="4" t="n">
        <f aca="false">IF(B11&gt;0,F11/B11,0)</f>
        <v>0</v>
      </c>
      <c r="J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30"/>
  </cols>
  <sheetData>
    <row r="1" customFormat="false" ht="34.5" hidden="false" customHeight="tru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9</v>
      </c>
    </row>
    <row r="2" customFormat="false" ht="17.15" hidden="false" customHeight="false" outlineLevel="0" collapsed="false">
      <c r="A2" s="0" t="s">
        <v>31</v>
      </c>
      <c r="B2" s="0" t="s">
        <v>32</v>
      </c>
      <c r="C2" s="0" t="s">
        <v>33</v>
      </c>
      <c r="D2" s="0" t="s">
        <v>33</v>
      </c>
      <c r="E2" s="0" t="s">
        <v>34</v>
      </c>
      <c r="F2" s="5" t="s">
        <v>35</v>
      </c>
      <c r="G2" s="6" t="s">
        <v>36</v>
      </c>
      <c r="H2" s="7" t="s">
        <v>7</v>
      </c>
      <c r="J2" s="7" t="s">
        <v>37</v>
      </c>
      <c r="L2" s="7" t="s">
        <v>38</v>
      </c>
      <c r="M2" s="7" t="s">
        <v>39</v>
      </c>
    </row>
    <row r="3" customFormat="false" ht="17.15" hidden="false" customHeight="false" outlineLevel="0" collapsed="false">
      <c r="A3" s="0" t="s">
        <v>40</v>
      </c>
      <c r="B3" s="0" t="s">
        <v>32</v>
      </c>
      <c r="C3" s="0" t="s">
        <v>41</v>
      </c>
      <c r="D3" s="0" t="s">
        <v>42</v>
      </c>
      <c r="E3" s="0" t="s">
        <v>43</v>
      </c>
      <c r="F3" s="0" t="s">
        <v>44</v>
      </c>
      <c r="G3" s="6" t="s">
        <v>36</v>
      </c>
      <c r="H3" s="7" t="s">
        <v>7</v>
      </c>
      <c r="J3" s="7" t="s">
        <v>45</v>
      </c>
      <c r="L3" s="7" t="s">
        <v>38</v>
      </c>
      <c r="M3" s="7" t="s">
        <v>39</v>
      </c>
    </row>
    <row r="4" customFormat="false" ht="17.15" hidden="false" customHeight="false" outlineLevel="0" collapsed="false">
      <c r="A4" s="0" t="s">
        <v>46</v>
      </c>
      <c r="B4" s="0" t="s">
        <v>32</v>
      </c>
      <c r="C4" s="0" t="s">
        <v>47</v>
      </c>
      <c r="D4" s="0" t="s">
        <v>48</v>
      </c>
      <c r="E4" s="0" t="s">
        <v>49</v>
      </c>
      <c r="F4" s="0" t="s">
        <v>50</v>
      </c>
      <c r="G4" s="6" t="s">
        <v>36</v>
      </c>
      <c r="H4" s="7" t="s">
        <v>7</v>
      </c>
      <c r="J4" s="7" t="s">
        <v>51</v>
      </c>
      <c r="L4" s="7" t="s">
        <v>38</v>
      </c>
    </row>
    <row r="5" customFormat="false" ht="17.15" hidden="false" customHeight="false" outlineLevel="0" collapsed="false">
      <c r="A5" s="0" t="s">
        <v>52</v>
      </c>
      <c r="B5" s="0" t="s">
        <v>53</v>
      </c>
      <c r="C5" s="0" t="s">
        <v>54</v>
      </c>
      <c r="D5" s="0" t="s">
        <v>55</v>
      </c>
      <c r="E5" s="0" t="s">
        <v>56</v>
      </c>
      <c r="F5" s="0" t="s">
        <v>57</v>
      </c>
      <c r="G5" s="6" t="s">
        <v>36</v>
      </c>
      <c r="H5" s="7" t="s">
        <v>7</v>
      </c>
      <c r="J5" s="7" t="s">
        <v>58</v>
      </c>
      <c r="L5" s="7" t="s">
        <v>59</v>
      </c>
    </row>
    <row r="6" customFormat="false" ht="17.15" hidden="false" customHeight="false" outlineLevel="0" collapsed="false">
      <c r="A6" s="0" t="s">
        <v>60</v>
      </c>
      <c r="B6" s="0" t="s">
        <v>53</v>
      </c>
      <c r="C6" s="0" t="s">
        <v>61</v>
      </c>
      <c r="D6" s="0" t="s">
        <v>62</v>
      </c>
      <c r="E6" s="0" t="s">
        <v>63</v>
      </c>
      <c r="F6" s="0" t="s">
        <v>64</v>
      </c>
      <c r="G6" s="6" t="s">
        <v>36</v>
      </c>
      <c r="H6" s="7" t="s">
        <v>7</v>
      </c>
      <c r="J6" s="7" t="s">
        <v>65</v>
      </c>
      <c r="L6" s="7" t="s">
        <v>59</v>
      </c>
    </row>
    <row r="7" customFormat="false" ht="17.15" hidden="false" customHeight="false" outlineLevel="0" collapsed="false">
      <c r="A7" s="0" t="s">
        <v>66</v>
      </c>
      <c r="B7" s="0" t="s">
        <v>53</v>
      </c>
      <c r="C7" s="0" t="s">
        <v>67</v>
      </c>
      <c r="D7" s="0" t="s">
        <v>68</v>
      </c>
      <c r="E7" s="0" t="s">
        <v>69</v>
      </c>
      <c r="F7" s="0" t="s">
        <v>70</v>
      </c>
      <c r="G7" s="8" t="s">
        <v>71</v>
      </c>
      <c r="H7" s="7" t="s">
        <v>7</v>
      </c>
      <c r="J7" s="7" t="s">
        <v>58</v>
      </c>
      <c r="L7" s="7" t="s">
        <v>72</v>
      </c>
    </row>
    <row r="8" customFormat="false" ht="17.15" hidden="false" customHeight="false" outlineLevel="0" collapsed="false">
      <c r="A8" s="0" t="s">
        <v>73</v>
      </c>
      <c r="B8" s="0" t="s">
        <v>74</v>
      </c>
      <c r="C8" s="0" t="s">
        <v>75</v>
      </c>
      <c r="D8" s="0" t="s">
        <v>76</v>
      </c>
      <c r="E8" s="0" t="s">
        <v>77</v>
      </c>
      <c r="F8" s="5" t="s">
        <v>78</v>
      </c>
      <c r="G8" s="6" t="s">
        <v>36</v>
      </c>
      <c r="H8" s="7" t="s">
        <v>7</v>
      </c>
      <c r="J8" s="7" t="s">
        <v>51</v>
      </c>
      <c r="L8" s="7" t="s">
        <v>38</v>
      </c>
    </row>
    <row r="9" customFormat="false" ht="17.15" hidden="false" customHeight="false" outlineLevel="0" collapsed="false">
      <c r="A9" s="0" t="s">
        <v>79</v>
      </c>
      <c r="B9" s="0" t="s">
        <v>74</v>
      </c>
      <c r="C9" s="0" t="s">
        <v>80</v>
      </c>
      <c r="D9" s="0" t="s">
        <v>81</v>
      </c>
      <c r="E9" s="0" t="s">
        <v>82</v>
      </c>
      <c r="F9" s="0" t="s">
        <v>83</v>
      </c>
      <c r="G9" s="8" t="s">
        <v>71</v>
      </c>
      <c r="H9" s="7" t="s">
        <v>7</v>
      </c>
      <c r="J9" s="7" t="s">
        <v>84</v>
      </c>
      <c r="L9" s="7" t="s">
        <v>38</v>
      </c>
    </row>
    <row r="10" customFormat="false" ht="17.15" hidden="false" customHeight="false" outlineLevel="0" collapsed="false">
      <c r="A10" s="0" t="s">
        <v>85</v>
      </c>
      <c r="B10" s="0" t="s">
        <v>74</v>
      </c>
      <c r="C10" s="0" t="s">
        <v>86</v>
      </c>
      <c r="D10" s="0" t="s">
        <v>87</v>
      </c>
      <c r="E10" s="0" t="s">
        <v>88</v>
      </c>
      <c r="F10" s="0" t="s">
        <v>89</v>
      </c>
      <c r="G10" s="8" t="s">
        <v>71</v>
      </c>
      <c r="H10" s="7" t="s">
        <v>7</v>
      </c>
      <c r="J10" s="7" t="s">
        <v>58</v>
      </c>
      <c r="L10" s="7" t="s">
        <v>90</v>
      </c>
    </row>
    <row r="11" customFormat="false" ht="17.15" hidden="false" customHeight="false" outlineLevel="0" collapsed="false">
      <c r="A11" s="0" t="s">
        <v>91</v>
      </c>
      <c r="B11" s="0" t="s">
        <v>92</v>
      </c>
      <c r="C11" s="0" t="s">
        <v>93</v>
      </c>
      <c r="D11" s="0" t="s">
        <v>94</v>
      </c>
      <c r="E11" s="0" t="s">
        <v>95</v>
      </c>
      <c r="F11" s="0" t="s">
        <v>96</v>
      </c>
      <c r="G11" s="6" t="s">
        <v>36</v>
      </c>
      <c r="H11" s="7" t="s">
        <v>7</v>
      </c>
      <c r="J11" s="7" t="s">
        <v>84</v>
      </c>
      <c r="L11" s="7" t="s">
        <v>97</v>
      </c>
    </row>
    <row r="12" customFormat="false" ht="17.15" hidden="false" customHeight="false" outlineLevel="0" collapsed="false">
      <c r="A12" s="0" t="s">
        <v>98</v>
      </c>
      <c r="B12" s="0" t="s">
        <v>92</v>
      </c>
      <c r="C12" s="0" t="s">
        <v>99</v>
      </c>
      <c r="D12" s="0" t="s">
        <v>100</v>
      </c>
      <c r="E12" s="0" t="s">
        <v>101</v>
      </c>
      <c r="F12" s="5" t="s">
        <v>102</v>
      </c>
      <c r="G12" s="8" t="s">
        <v>71</v>
      </c>
      <c r="H12" s="7" t="s">
        <v>7</v>
      </c>
      <c r="J12" s="7" t="s">
        <v>65</v>
      </c>
      <c r="L12" s="7" t="s">
        <v>97</v>
      </c>
    </row>
    <row r="13" customFormat="false" ht="17.15" hidden="false" customHeight="false" outlineLevel="0" collapsed="false">
      <c r="A13" s="0" t="s">
        <v>103</v>
      </c>
      <c r="B13" s="0" t="s">
        <v>92</v>
      </c>
      <c r="C13" s="0" t="s">
        <v>104</v>
      </c>
      <c r="D13" s="0" t="s">
        <v>105</v>
      </c>
      <c r="E13" s="0" t="s">
        <v>106</v>
      </c>
      <c r="F13" s="0" t="s">
        <v>107</v>
      </c>
      <c r="G13" s="8" t="s">
        <v>71</v>
      </c>
      <c r="H13" s="7" t="s">
        <v>7</v>
      </c>
      <c r="J13" s="7" t="s">
        <v>58</v>
      </c>
      <c r="L13" s="7" t="s">
        <v>90</v>
      </c>
    </row>
    <row r="14" customFormat="false" ht="17.15" hidden="false" customHeight="false" outlineLevel="0" collapsed="false">
      <c r="A14" s="0" t="s">
        <v>108</v>
      </c>
      <c r="B14" s="0" t="s">
        <v>109</v>
      </c>
      <c r="C14" s="0" t="s">
        <v>110</v>
      </c>
      <c r="D14" s="0" t="s">
        <v>111</v>
      </c>
      <c r="E14" s="0" t="s">
        <v>112</v>
      </c>
      <c r="F14" s="5" t="s">
        <v>113</v>
      </c>
      <c r="G14" s="8" t="s">
        <v>71</v>
      </c>
      <c r="H14" s="7" t="s">
        <v>7</v>
      </c>
      <c r="J14" s="7" t="s">
        <v>65</v>
      </c>
      <c r="L14" s="7" t="s">
        <v>59</v>
      </c>
    </row>
    <row r="15" customFormat="false" ht="17.15" hidden="false" customHeight="false" outlineLevel="0" collapsed="false">
      <c r="A15" s="0" t="s">
        <v>114</v>
      </c>
      <c r="B15" s="0" t="s">
        <v>109</v>
      </c>
      <c r="C15" s="0" t="s">
        <v>115</v>
      </c>
      <c r="D15" s="0" t="s">
        <v>116</v>
      </c>
      <c r="E15" s="0" t="s">
        <v>117</v>
      </c>
      <c r="F15" s="5" t="s">
        <v>118</v>
      </c>
      <c r="G15" s="8" t="s">
        <v>71</v>
      </c>
      <c r="H15" s="7" t="s">
        <v>7</v>
      </c>
      <c r="J15" s="7" t="s">
        <v>58</v>
      </c>
      <c r="L15" s="7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30"/>
  </cols>
  <sheetData>
    <row r="1" customFormat="false" ht="34.5" hidden="false" customHeight="tru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9</v>
      </c>
    </row>
    <row r="2" customFormat="false" ht="17.15" hidden="false" customHeight="false" outlineLevel="0" collapsed="false">
      <c r="A2" s="0" t="s">
        <v>119</v>
      </c>
      <c r="B2" s="0" t="s">
        <v>120</v>
      </c>
      <c r="C2" s="0" t="s">
        <v>121</v>
      </c>
      <c r="D2" s="0" t="s">
        <v>122</v>
      </c>
      <c r="E2" s="0" t="s">
        <v>123</v>
      </c>
      <c r="F2" s="5" t="s">
        <v>124</v>
      </c>
      <c r="G2" s="6" t="s">
        <v>36</v>
      </c>
      <c r="H2" s="7" t="s">
        <v>7</v>
      </c>
      <c r="J2" s="7" t="s">
        <v>58</v>
      </c>
      <c r="L2" s="7" t="s">
        <v>59</v>
      </c>
    </row>
    <row r="3" customFormat="false" ht="17.15" hidden="false" customHeight="false" outlineLevel="0" collapsed="false">
      <c r="A3" s="0" t="s">
        <v>125</v>
      </c>
      <c r="B3" s="0" t="s">
        <v>120</v>
      </c>
      <c r="C3" s="0" t="s">
        <v>126</v>
      </c>
      <c r="D3" s="0" t="s">
        <v>127</v>
      </c>
      <c r="E3" s="0" t="s">
        <v>128</v>
      </c>
      <c r="F3" s="5" t="s">
        <v>129</v>
      </c>
      <c r="G3" s="6" t="s">
        <v>36</v>
      </c>
      <c r="H3" s="7" t="s">
        <v>7</v>
      </c>
      <c r="J3" s="7" t="s">
        <v>65</v>
      </c>
      <c r="L3" s="7" t="s">
        <v>59</v>
      </c>
    </row>
    <row r="4" customFormat="false" ht="17.15" hidden="false" customHeight="false" outlineLevel="0" collapsed="false">
      <c r="A4" s="0" t="s">
        <v>130</v>
      </c>
      <c r="B4" s="0" t="s">
        <v>120</v>
      </c>
      <c r="C4" s="0" t="s">
        <v>131</v>
      </c>
      <c r="D4" s="0" t="s">
        <v>132</v>
      </c>
      <c r="E4" s="0" t="s">
        <v>133</v>
      </c>
      <c r="F4" s="5" t="s">
        <v>134</v>
      </c>
      <c r="G4" s="8" t="s">
        <v>71</v>
      </c>
      <c r="H4" s="7" t="s">
        <v>7</v>
      </c>
      <c r="J4" s="7" t="s">
        <v>135</v>
      </c>
      <c r="L4" s="7" t="s">
        <v>59</v>
      </c>
    </row>
    <row r="5" customFormat="false" ht="17.15" hidden="false" customHeight="false" outlineLevel="0" collapsed="false">
      <c r="A5" s="0" t="s">
        <v>136</v>
      </c>
      <c r="B5" s="0" t="s">
        <v>137</v>
      </c>
      <c r="C5" s="0" t="s">
        <v>138</v>
      </c>
      <c r="D5" s="0" t="s">
        <v>138</v>
      </c>
      <c r="E5" s="0" t="s">
        <v>139</v>
      </c>
      <c r="F5" s="0" t="s">
        <v>140</v>
      </c>
      <c r="G5" s="6" t="s">
        <v>36</v>
      </c>
      <c r="H5" s="7" t="s">
        <v>7</v>
      </c>
      <c r="J5" s="7" t="s">
        <v>141</v>
      </c>
      <c r="L5" s="7" t="s">
        <v>59</v>
      </c>
    </row>
    <row r="6" customFormat="false" ht="17.15" hidden="false" customHeight="false" outlineLevel="0" collapsed="false">
      <c r="A6" s="0" t="s">
        <v>142</v>
      </c>
      <c r="B6" s="0" t="s">
        <v>137</v>
      </c>
      <c r="C6" s="0" t="s">
        <v>143</v>
      </c>
      <c r="D6" s="0" t="s">
        <v>144</v>
      </c>
      <c r="E6" s="0" t="s">
        <v>145</v>
      </c>
      <c r="F6" s="5" t="s">
        <v>146</v>
      </c>
      <c r="G6" s="6" t="s">
        <v>36</v>
      </c>
      <c r="H6" s="7" t="s">
        <v>7</v>
      </c>
      <c r="J6" s="7" t="s">
        <v>135</v>
      </c>
      <c r="L6" s="7" t="s">
        <v>59</v>
      </c>
    </row>
    <row r="7" customFormat="false" ht="17.15" hidden="false" customHeight="false" outlineLevel="0" collapsed="false">
      <c r="A7" s="0" t="s">
        <v>147</v>
      </c>
      <c r="B7" s="0" t="s">
        <v>137</v>
      </c>
      <c r="C7" s="0" t="s">
        <v>148</v>
      </c>
      <c r="D7" s="0" t="s">
        <v>149</v>
      </c>
      <c r="E7" s="0" t="s">
        <v>150</v>
      </c>
      <c r="F7" s="5" t="s">
        <v>151</v>
      </c>
      <c r="G7" s="6" t="s">
        <v>36</v>
      </c>
      <c r="H7" s="7" t="s">
        <v>7</v>
      </c>
      <c r="J7" s="7" t="s">
        <v>135</v>
      </c>
      <c r="L7" s="7" t="s">
        <v>59</v>
      </c>
    </row>
    <row r="8" customFormat="false" ht="17.15" hidden="false" customHeight="false" outlineLevel="0" collapsed="false">
      <c r="A8" s="0" t="s">
        <v>152</v>
      </c>
      <c r="B8" s="0" t="s">
        <v>137</v>
      </c>
      <c r="C8" s="0" t="s">
        <v>153</v>
      </c>
      <c r="D8" s="0" t="s">
        <v>154</v>
      </c>
      <c r="E8" s="0" t="s">
        <v>155</v>
      </c>
      <c r="F8" s="5" t="s">
        <v>156</v>
      </c>
      <c r="G8" s="8" t="s">
        <v>71</v>
      </c>
      <c r="H8" s="7" t="s">
        <v>7</v>
      </c>
      <c r="J8" s="7" t="s">
        <v>141</v>
      </c>
      <c r="L8" s="7" t="s">
        <v>59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0" t="s">
        <v>159</v>
      </c>
      <c r="D9" s="0" t="s">
        <v>160</v>
      </c>
      <c r="E9" s="0" t="s">
        <v>161</v>
      </c>
      <c r="F9" s="0" t="s">
        <v>162</v>
      </c>
      <c r="G9" s="6" t="s">
        <v>36</v>
      </c>
      <c r="H9" s="7" t="s">
        <v>7</v>
      </c>
      <c r="J9" s="7" t="s">
        <v>163</v>
      </c>
      <c r="L9" s="7" t="s">
        <v>38</v>
      </c>
    </row>
    <row r="10" customFormat="false" ht="17.15" hidden="false" customHeight="false" outlineLevel="0" collapsed="false">
      <c r="A10" s="0" t="s">
        <v>164</v>
      </c>
      <c r="B10" s="0" t="s">
        <v>158</v>
      </c>
      <c r="C10" s="0" t="s">
        <v>165</v>
      </c>
      <c r="D10" s="0" t="s">
        <v>166</v>
      </c>
      <c r="E10" s="0" t="s">
        <v>167</v>
      </c>
      <c r="F10" s="5" t="s">
        <v>168</v>
      </c>
      <c r="G10" s="8" t="s">
        <v>71</v>
      </c>
      <c r="H10" s="7" t="s">
        <v>7</v>
      </c>
      <c r="J10" s="7" t="s">
        <v>141</v>
      </c>
      <c r="L10" s="7" t="s">
        <v>38</v>
      </c>
    </row>
    <row r="11" customFormat="false" ht="15" hidden="false" customHeight="false" outlineLevel="0" collapsed="false">
      <c r="A11" s="0" t="s">
        <v>169</v>
      </c>
      <c r="B11" s="0" t="s">
        <v>158</v>
      </c>
      <c r="C11" s="0" t="s">
        <v>170</v>
      </c>
      <c r="D11" s="0" t="s">
        <v>171</v>
      </c>
      <c r="E11" s="0" t="s">
        <v>172</v>
      </c>
      <c r="F11" s="0" t="s">
        <v>173</v>
      </c>
      <c r="G11" s="6" t="s">
        <v>36</v>
      </c>
      <c r="H11" s="7" t="s">
        <v>7</v>
      </c>
      <c r="J11" s="7" t="s">
        <v>135</v>
      </c>
      <c r="L11" s="7" t="s">
        <v>38</v>
      </c>
    </row>
    <row r="12" customFormat="false" ht="15" hidden="false" customHeight="false" outlineLevel="0" collapsed="false">
      <c r="A12" s="0" t="s">
        <v>174</v>
      </c>
      <c r="B12" s="0" t="s">
        <v>158</v>
      </c>
      <c r="C12" s="0" t="s">
        <v>175</v>
      </c>
      <c r="D12" s="0" t="s">
        <v>176</v>
      </c>
      <c r="E12" s="0" t="s">
        <v>177</v>
      </c>
      <c r="F12" s="0" t="s">
        <v>178</v>
      </c>
      <c r="G12" s="6" t="s">
        <v>36</v>
      </c>
      <c r="H12" s="7" t="s">
        <v>7</v>
      </c>
      <c r="J12" s="7" t="s">
        <v>141</v>
      </c>
      <c r="L12" s="7" t="s">
        <v>97</v>
      </c>
    </row>
    <row r="13" customFormat="false" ht="17.15" hidden="false" customHeight="false" outlineLevel="0" collapsed="false">
      <c r="A13" s="0" t="s">
        <v>179</v>
      </c>
      <c r="B13" s="0" t="s">
        <v>158</v>
      </c>
      <c r="C13" s="0" t="s">
        <v>180</v>
      </c>
      <c r="D13" s="0" t="s">
        <v>181</v>
      </c>
      <c r="E13" s="0" t="s">
        <v>182</v>
      </c>
      <c r="F13" s="0" t="s">
        <v>183</v>
      </c>
      <c r="G13" s="8" t="s">
        <v>71</v>
      </c>
      <c r="H13" s="7" t="s">
        <v>7</v>
      </c>
      <c r="J13" s="7" t="s">
        <v>163</v>
      </c>
      <c r="L13" s="7" t="s">
        <v>38</v>
      </c>
    </row>
    <row r="14" customFormat="false" ht="17.15" hidden="false" customHeight="false" outlineLevel="0" collapsed="false">
      <c r="A14" s="0" t="s">
        <v>184</v>
      </c>
      <c r="B14" s="0" t="s">
        <v>185</v>
      </c>
      <c r="C14" s="0" t="s">
        <v>186</v>
      </c>
      <c r="D14" s="0" t="s">
        <v>187</v>
      </c>
      <c r="E14" s="0" t="s">
        <v>188</v>
      </c>
      <c r="F14" s="0" t="s">
        <v>189</v>
      </c>
      <c r="G14" s="8" t="s">
        <v>71</v>
      </c>
      <c r="H14" s="7" t="s">
        <v>7</v>
      </c>
      <c r="J14" s="7" t="s">
        <v>163</v>
      </c>
      <c r="L14" s="7" t="s">
        <v>97</v>
      </c>
    </row>
    <row r="15" customFormat="false" ht="15" hidden="false" customHeight="false" outlineLevel="0" collapsed="false">
      <c r="A15" s="0" t="s">
        <v>190</v>
      </c>
      <c r="B15" s="0" t="s">
        <v>185</v>
      </c>
      <c r="C15" s="0" t="s">
        <v>191</v>
      </c>
      <c r="D15" s="0" t="s">
        <v>192</v>
      </c>
      <c r="E15" s="0" t="s">
        <v>193</v>
      </c>
      <c r="F15" s="0" t="s">
        <v>194</v>
      </c>
      <c r="G15" s="8" t="s">
        <v>71</v>
      </c>
      <c r="H15" s="7" t="s">
        <v>7</v>
      </c>
      <c r="J15" s="7" t="s">
        <v>163</v>
      </c>
      <c r="L15" s="7" t="s">
        <v>97</v>
      </c>
    </row>
    <row r="16" customFormat="false" ht="15" hidden="false" customHeight="false" outlineLevel="0" collapsed="false">
      <c r="A16" s="0" t="s">
        <v>195</v>
      </c>
      <c r="B16" s="0" t="s">
        <v>185</v>
      </c>
      <c r="C16" s="0" t="s">
        <v>196</v>
      </c>
      <c r="D16" s="0" t="s">
        <v>197</v>
      </c>
      <c r="E16" s="0" t="s">
        <v>198</v>
      </c>
      <c r="F16" s="0" t="s">
        <v>199</v>
      </c>
      <c r="G16" s="6" t="s">
        <v>36</v>
      </c>
      <c r="H16" s="7" t="s">
        <v>7</v>
      </c>
      <c r="J16" s="7" t="s">
        <v>141</v>
      </c>
      <c r="L16" s="7" t="s">
        <v>97</v>
      </c>
    </row>
    <row r="17" customFormat="false" ht="15" hidden="false" customHeight="false" outlineLevel="0" collapsed="false">
      <c r="A17" s="0" t="s">
        <v>200</v>
      </c>
      <c r="B17" s="0" t="s">
        <v>185</v>
      </c>
      <c r="C17" s="0" t="s">
        <v>201</v>
      </c>
      <c r="D17" s="0" t="s">
        <v>202</v>
      </c>
      <c r="E17" s="0" t="s">
        <v>203</v>
      </c>
      <c r="F17" s="0" t="s">
        <v>204</v>
      </c>
      <c r="G17" s="8" t="s">
        <v>71</v>
      </c>
      <c r="H17" s="7" t="s">
        <v>7</v>
      </c>
      <c r="J17" s="7" t="s">
        <v>141</v>
      </c>
      <c r="L17" s="7" t="s">
        <v>97</v>
      </c>
    </row>
    <row r="18" customFormat="false" ht="15" hidden="false" customHeight="false" outlineLevel="0" collapsed="false">
      <c r="A18" s="0" t="s">
        <v>205</v>
      </c>
      <c r="B18" s="0" t="s">
        <v>206</v>
      </c>
      <c r="C18" s="0" t="s">
        <v>207</v>
      </c>
      <c r="D18" s="0" t="s">
        <v>208</v>
      </c>
      <c r="E18" s="0" t="s">
        <v>209</v>
      </c>
      <c r="F18" s="0" t="s">
        <v>210</v>
      </c>
      <c r="G18" s="8" t="s">
        <v>71</v>
      </c>
      <c r="H18" s="7" t="s">
        <v>7</v>
      </c>
      <c r="J18" s="7" t="s">
        <v>163</v>
      </c>
      <c r="L18" s="7" t="s">
        <v>211</v>
      </c>
    </row>
    <row r="19" customFormat="false" ht="17.15" hidden="false" customHeight="false" outlineLevel="0" collapsed="false">
      <c r="A19" s="0" t="s">
        <v>212</v>
      </c>
      <c r="B19" s="0" t="s">
        <v>206</v>
      </c>
      <c r="C19" s="0" t="s">
        <v>213</v>
      </c>
      <c r="D19" s="0" t="s">
        <v>214</v>
      </c>
      <c r="E19" s="0" t="s">
        <v>215</v>
      </c>
      <c r="F19" s="0" t="s">
        <v>216</v>
      </c>
      <c r="G19" s="8" t="s">
        <v>71</v>
      </c>
      <c r="H19" s="7" t="s">
        <v>7</v>
      </c>
      <c r="J19" s="7" t="s">
        <v>217</v>
      </c>
      <c r="L19" s="7" t="s">
        <v>90</v>
      </c>
    </row>
    <row r="20" customFormat="false" ht="17.15" hidden="false" customHeight="false" outlineLevel="0" collapsed="false">
      <c r="A20" s="0" t="s">
        <v>218</v>
      </c>
      <c r="B20" s="0" t="s">
        <v>206</v>
      </c>
      <c r="C20" s="0" t="s">
        <v>219</v>
      </c>
      <c r="D20" s="0" t="s">
        <v>220</v>
      </c>
      <c r="E20" s="0" t="s">
        <v>221</v>
      </c>
      <c r="F20" s="5" t="s">
        <v>222</v>
      </c>
      <c r="G20" s="8" t="s">
        <v>71</v>
      </c>
      <c r="H20" s="7" t="s">
        <v>7</v>
      </c>
      <c r="J20" s="7" t="s">
        <v>135</v>
      </c>
      <c r="L20" s="7" t="s">
        <v>90</v>
      </c>
    </row>
    <row r="21" customFormat="false" ht="15" hidden="false" customHeight="false" outlineLevel="0" collapsed="false">
      <c r="A21" s="0" t="s">
        <v>223</v>
      </c>
      <c r="B21" s="0" t="s">
        <v>206</v>
      </c>
      <c r="C21" s="0" t="s">
        <v>224</v>
      </c>
      <c r="D21" s="0" t="s">
        <v>225</v>
      </c>
      <c r="E21" s="0" t="s">
        <v>226</v>
      </c>
      <c r="F21" s="0" t="s">
        <v>227</v>
      </c>
      <c r="G21" s="8" t="s">
        <v>71</v>
      </c>
      <c r="H21" s="7" t="s">
        <v>7</v>
      </c>
      <c r="J21" s="7" t="s">
        <v>163</v>
      </c>
      <c r="L21" s="7" t="s">
        <v>90</v>
      </c>
    </row>
    <row r="22" customFormat="false" ht="15" hidden="false" customHeight="false" outlineLevel="0" collapsed="false">
      <c r="A22" s="0" t="s">
        <v>228</v>
      </c>
      <c r="B22" s="0" t="s">
        <v>206</v>
      </c>
      <c r="C22" s="0" t="s">
        <v>229</v>
      </c>
      <c r="D22" s="0" t="s">
        <v>230</v>
      </c>
      <c r="E22" s="0" t="s">
        <v>231</v>
      </c>
      <c r="F22" s="0" t="s">
        <v>232</v>
      </c>
      <c r="G22" s="6" t="s">
        <v>36</v>
      </c>
      <c r="H22" s="7" t="s">
        <v>7</v>
      </c>
      <c r="J22" s="7" t="s">
        <v>141</v>
      </c>
      <c r="L22" s="7" t="s">
        <v>97</v>
      </c>
    </row>
    <row r="23" customFormat="false" ht="15" hidden="false" customHeight="false" outlineLevel="0" collapsed="false">
      <c r="A23" s="0" t="s">
        <v>233</v>
      </c>
      <c r="B23" s="0" t="s">
        <v>234</v>
      </c>
      <c r="C23" s="0" t="s">
        <v>235</v>
      </c>
      <c r="D23" s="0" t="s">
        <v>235</v>
      </c>
      <c r="E23" s="0" t="s">
        <v>236</v>
      </c>
      <c r="F23" s="0" t="s">
        <v>237</v>
      </c>
      <c r="G23" s="6" t="s">
        <v>36</v>
      </c>
      <c r="H23" s="7" t="s">
        <v>7</v>
      </c>
      <c r="J23" s="7" t="s">
        <v>141</v>
      </c>
      <c r="L23" s="7" t="s">
        <v>72</v>
      </c>
    </row>
    <row r="24" customFormat="false" ht="17.15" hidden="false" customHeight="false" outlineLevel="0" collapsed="false">
      <c r="A24" s="0" t="s">
        <v>238</v>
      </c>
      <c r="B24" s="0" t="s">
        <v>234</v>
      </c>
      <c r="C24" s="0" t="s">
        <v>67</v>
      </c>
      <c r="D24" s="0" t="s">
        <v>239</v>
      </c>
      <c r="E24" s="0" t="s">
        <v>240</v>
      </c>
      <c r="F24" s="0" t="s">
        <v>241</v>
      </c>
      <c r="G24" s="6" t="s">
        <v>36</v>
      </c>
      <c r="H24" s="7" t="s">
        <v>7</v>
      </c>
      <c r="J24" s="7" t="s">
        <v>135</v>
      </c>
      <c r="L24" s="7" t="s">
        <v>72</v>
      </c>
    </row>
    <row r="25" customFormat="false" ht="17.15" hidden="false" customHeight="false" outlineLevel="0" collapsed="false">
      <c r="A25" s="0" t="s">
        <v>242</v>
      </c>
      <c r="B25" s="0" t="s">
        <v>234</v>
      </c>
      <c r="C25" s="0" t="s">
        <v>243</v>
      </c>
      <c r="D25" s="0" t="s">
        <v>244</v>
      </c>
      <c r="E25" s="0" t="s">
        <v>245</v>
      </c>
      <c r="F25" s="5" t="s">
        <v>246</v>
      </c>
      <c r="G25" s="6" t="s">
        <v>36</v>
      </c>
      <c r="H25" s="7" t="s">
        <v>7</v>
      </c>
      <c r="J25" s="7" t="s">
        <v>65</v>
      </c>
      <c r="L25" s="7" t="s">
        <v>72</v>
      </c>
    </row>
    <row r="26" customFormat="false" ht="17.15" hidden="false" customHeight="false" outlineLevel="0" collapsed="false">
      <c r="A26" s="0" t="s">
        <v>247</v>
      </c>
      <c r="B26" s="0" t="s">
        <v>234</v>
      </c>
      <c r="C26" s="0" t="s">
        <v>248</v>
      </c>
      <c r="D26" s="0" t="s">
        <v>249</v>
      </c>
      <c r="E26" s="0" t="s">
        <v>250</v>
      </c>
      <c r="F26" s="5" t="s">
        <v>251</v>
      </c>
      <c r="G26" s="8" t="s">
        <v>71</v>
      </c>
      <c r="H26" s="7" t="s">
        <v>7</v>
      </c>
      <c r="J26" s="7" t="s">
        <v>135</v>
      </c>
      <c r="L26" s="7" t="s">
        <v>72</v>
      </c>
    </row>
    <row r="27" customFormat="false" ht="17.15" hidden="false" customHeight="false" outlineLevel="0" collapsed="false">
      <c r="A27" s="0" t="s">
        <v>252</v>
      </c>
      <c r="B27" s="0" t="s">
        <v>234</v>
      </c>
      <c r="C27" s="0" t="s">
        <v>253</v>
      </c>
      <c r="D27" s="0" t="s">
        <v>254</v>
      </c>
      <c r="E27" s="0" t="s">
        <v>255</v>
      </c>
      <c r="F27" s="0" t="s">
        <v>256</v>
      </c>
      <c r="G27" s="8" t="s">
        <v>71</v>
      </c>
      <c r="H27" s="7" t="s">
        <v>7</v>
      </c>
      <c r="J27" s="7" t="s">
        <v>135</v>
      </c>
      <c r="L27" s="7" t="s">
        <v>72</v>
      </c>
    </row>
    <row r="28" customFormat="false" ht="17.15" hidden="false" customHeight="false" outlineLevel="0" collapsed="false">
      <c r="A28" s="0" t="s">
        <v>257</v>
      </c>
      <c r="B28" s="0" t="s">
        <v>258</v>
      </c>
      <c r="C28" s="0" t="s">
        <v>259</v>
      </c>
      <c r="D28" s="0" t="s">
        <v>260</v>
      </c>
      <c r="E28" s="0" t="s">
        <v>261</v>
      </c>
      <c r="F28" s="0" t="s">
        <v>262</v>
      </c>
      <c r="G28" s="6" t="s">
        <v>36</v>
      </c>
      <c r="H28" s="7" t="s">
        <v>7</v>
      </c>
      <c r="J28" s="7" t="s">
        <v>163</v>
      </c>
      <c r="L28" s="7" t="s">
        <v>211</v>
      </c>
    </row>
    <row r="29" customFormat="false" ht="17.15" hidden="false" customHeight="false" outlineLevel="0" collapsed="false">
      <c r="A29" s="0" t="s">
        <v>263</v>
      </c>
      <c r="B29" s="0" t="s">
        <v>258</v>
      </c>
      <c r="C29" s="0" t="s">
        <v>264</v>
      </c>
      <c r="D29" s="0" t="s">
        <v>265</v>
      </c>
      <c r="E29" s="0" t="s">
        <v>266</v>
      </c>
      <c r="F29" s="5" t="s">
        <v>267</v>
      </c>
      <c r="G29" s="8" t="s">
        <v>71</v>
      </c>
      <c r="H29" s="7" t="s">
        <v>7</v>
      </c>
      <c r="J29" s="7" t="s">
        <v>268</v>
      </c>
      <c r="L29" s="7" t="s">
        <v>211</v>
      </c>
    </row>
    <row r="30" customFormat="false" ht="15" hidden="false" customHeight="false" outlineLevel="0" collapsed="false">
      <c r="A30" s="0" t="s">
        <v>269</v>
      </c>
      <c r="B30" s="0" t="s">
        <v>258</v>
      </c>
      <c r="C30" s="0" t="s">
        <v>270</v>
      </c>
      <c r="D30" s="0" t="s">
        <v>271</v>
      </c>
      <c r="E30" s="0" t="s">
        <v>272</v>
      </c>
      <c r="F30" s="0" t="s">
        <v>273</v>
      </c>
      <c r="G30" s="8" t="s">
        <v>71</v>
      </c>
      <c r="H30" s="7" t="s">
        <v>7</v>
      </c>
      <c r="J30" s="7" t="s">
        <v>217</v>
      </c>
      <c r="L30" s="7" t="s">
        <v>211</v>
      </c>
    </row>
    <row r="31" customFormat="false" ht="15" hidden="false" customHeight="false" outlineLevel="0" collapsed="false">
      <c r="A31" s="0" t="s">
        <v>274</v>
      </c>
      <c r="B31" s="0" t="s">
        <v>258</v>
      </c>
      <c r="C31" s="0" t="s">
        <v>275</v>
      </c>
      <c r="D31" s="0" t="s">
        <v>276</v>
      </c>
      <c r="E31" s="0" t="s">
        <v>277</v>
      </c>
      <c r="F31" s="0" t="s">
        <v>278</v>
      </c>
      <c r="G31" s="8" t="s">
        <v>71</v>
      </c>
      <c r="H31" s="7" t="s">
        <v>7</v>
      </c>
      <c r="J31" s="7" t="s">
        <v>217</v>
      </c>
      <c r="L31" s="7" t="s">
        <v>211</v>
      </c>
    </row>
    <row r="32" customFormat="false" ht="15" hidden="false" customHeight="false" outlineLevel="0" collapsed="false">
      <c r="A32" s="0" t="s">
        <v>279</v>
      </c>
      <c r="B32" s="0" t="s">
        <v>280</v>
      </c>
      <c r="C32" s="0" t="s">
        <v>281</v>
      </c>
      <c r="D32" s="0" t="s">
        <v>282</v>
      </c>
      <c r="E32" s="0" t="s">
        <v>283</v>
      </c>
      <c r="F32" s="0" t="s">
        <v>284</v>
      </c>
      <c r="G32" s="6" t="s">
        <v>36</v>
      </c>
      <c r="H32" s="7" t="s">
        <v>7</v>
      </c>
      <c r="J32" s="7" t="s">
        <v>135</v>
      </c>
      <c r="L32" s="7" t="s">
        <v>211</v>
      </c>
    </row>
    <row r="33" customFormat="false" ht="15" hidden="false" customHeight="false" outlineLevel="0" collapsed="false">
      <c r="A33" s="0" t="s">
        <v>285</v>
      </c>
      <c r="B33" s="0" t="s">
        <v>280</v>
      </c>
      <c r="C33" s="0" t="s">
        <v>286</v>
      </c>
      <c r="D33" s="0" t="s">
        <v>287</v>
      </c>
      <c r="E33" s="0" t="s">
        <v>288</v>
      </c>
      <c r="F33" s="0" t="s">
        <v>289</v>
      </c>
      <c r="G33" s="8" t="s">
        <v>71</v>
      </c>
      <c r="H33" s="7" t="s">
        <v>7</v>
      </c>
      <c r="J33" s="7" t="s">
        <v>141</v>
      </c>
      <c r="L33" s="7" t="s">
        <v>38</v>
      </c>
    </row>
    <row r="34" customFormat="false" ht="15" hidden="false" customHeight="false" outlineLevel="0" collapsed="false">
      <c r="A34" s="0" t="s">
        <v>290</v>
      </c>
      <c r="B34" s="0" t="s">
        <v>280</v>
      </c>
      <c r="C34" s="0" t="s">
        <v>291</v>
      </c>
      <c r="D34" s="0" t="s">
        <v>292</v>
      </c>
      <c r="E34" s="0" t="s">
        <v>293</v>
      </c>
      <c r="F34" s="0" t="s">
        <v>294</v>
      </c>
      <c r="G34" s="8" t="s">
        <v>71</v>
      </c>
      <c r="H34" s="7" t="s">
        <v>7</v>
      </c>
      <c r="J34" s="7" t="s">
        <v>163</v>
      </c>
      <c r="L34" s="7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30"/>
  </cols>
  <sheetData>
    <row r="1" customFormat="false" ht="34.5" hidden="false" customHeight="tru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9</v>
      </c>
    </row>
    <row r="2" customFormat="false" ht="15" hidden="false" customHeight="false" outlineLevel="0" collapsed="false">
      <c r="A2" s="0" t="s">
        <v>295</v>
      </c>
      <c r="B2" s="0" t="s">
        <v>296</v>
      </c>
      <c r="C2" s="0" t="s">
        <v>297</v>
      </c>
      <c r="D2" s="0" t="s">
        <v>298</v>
      </c>
      <c r="E2" s="0" t="s">
        <v>299</v>
      </c>
      <c r="F2" s="0" t="s">
        <v>300</v>
      </c>
      <c r="G2" s="6" t="s">
        <v>36</v>
      </c>
      <c r="H2" s="7" t="s">
        <v>7</v>
      </c>
      <c r="J2" s="7" t="s">
        <v>51</v>
      </c>
      <c r="L2" s="7" t="s">
        <v>59</v>
      </c>
    </row>
    <row r="3" customFormat="false" ht="17.15" hidden="false" customHeight="false" outlineLevel="0" collapsed="false">
      <c r="A3" s="0" t="s">
        <v>301</v>
      </c>
      <c r="B3" s="0" t="s">
        <v>296</v>
      </c>
      <c r="C3" s="0" t="s">
        <v>86</v>
      </c>
      <c r="D3" s="0" t="s">
        <v>302</v>
      </c>
      <c r="E3" s="0" t="s">
        <v>303</v>
      </c>
      <c r="F3" s="0" t="s">
        <v>304</v>
      </c>
      <c r="G3" s="8" t="s">
        <v>71</v>
      </c>
      <c r="H3" s="7" t="s">
        <v>7</v>
      </c>
      <c r="J3" s="7" t="s">
        <v>84</v>
      </c>
      <c r="L3" s="7" t="s">
        <v>90</v>
      </c>
    </row>
    <row r="4" customFormat="false" ht="17.15" hidden="false" customHeight="false" outlineLevel="0" collapsed="false">
      <c r="A4" s="0" t="s">
        <v>305</v>
      </c>
      <c r="B4" s="0" t="s">
        <v>296</v>
      </c>
      <c r="C4" s="0" t="s">
        <v>306</v>
      </c>
      <c r="D4" s="0" t="s">
        <v>307</v>
      </c>
      <c r="E4" s="0" t="s">
        <v>308</v>
      </c>
      <c r="F4" s="0" t="s">
        <v>309</v>
      </c>
      <c r="G4" s="6" t="s">
        <v>36</v>
      </c>
      <c r="H4" s="7" t="s">
        <v>7</v>
      </c>
      <c r="J4" s="7" t="s">
        <v>45</v>
      </c>
      <c r="L4" s="7" t="s">
        <v>38</v>
      </c>
      <c r="M4" s="7" t="s">
        <v>39</v>
      </c>
    </row>
    <row r="5" customFormat="false" ht="17.15" hidden="false" customHeight="false" outlineLevel="0" collapsed="false">
      <c r="A5" s="0" t="s">
        <v>310</v>
      </c>
      <c r="B5" s="0" t="s">
        <v>296</v>
      </c>
      <c r="C5" s="0" t="s">
        <v>311</v>
      </c>
      <c r="D5" s="0" t="s">
        <v>312</v>
      </c>
      <c r="E5" s="0" t="s">
        <v>313</v>
      </c>
      <c r="F5" s="0" t="s">
        <v>314</v>
      </c>
      <c r="G5" s="6" t="s">
        <v>36</v>
      </c>
      <c r="H5" s="7" t="s">
        <v>7</v>
      </c>
      <c r="J5" s="7" t="s">
        <v>51</v>
      </c>
      <c r="L5" s="7" t="s">
        <v>97</v>
      </c>
    </row>
    <row r="6" customFormat="false" ht="17.15" hidden="false" customHeight="false" outlineLevel="0" collapsed="false">
      <c r="A6" s="0" t="s">
        <v>315</v>
      </c>
      <c r="B6" s="0" t="s">
        <v>296</v>
      </c>
      <c r="C6" s="0" t="s">
        <v>316</v>
      </c>
      <c r="D6" s="0" t="s">
        <v>317</v>
      </c>
      <c r="E6" s="0" t="s">
        <v>318</v>
      </c>
      <c r="F6" s="0" t="s">
        <v>319</v>
      </c>
      <c r="G6" s="9" t="s">
        <v>320</v>
      </c>
      <c r="H6" s="7" t="s">
        <v>7</v>
      </c>
      <c r="J6" s="7" t="s">
        <v>65</v>
      </c>
      <c r="L6" s="7" t="s">
        <v>321</v>
      </c>
    </row>
    <row r="7" customFormat="false" ht="17.15" hidden="false" customHeight="false" outlineLevel="0" collapsed="false">
      <c r="A7" s="0" t="s">
        <v>322</v>
      </c>
      <c r="B7" s="0" t="s">
        <v>296</v>
      </c>
      <c r="C7" s="0" t="s">
        <v>323</v>
      </c>
      <c r="D7" s="0" t="s">
        <v>324</v>
      </c>
      <c r="E7" s="0" t="s">
        <v>325</v>
      </c>
      <c r="F7" s="0" t="s">
        <v>326</v>
      </c>
      <c r="G7" s="8" t="s">
        <v>71</v>
      </c>
      <c r="H7" s="7" t="s">
        <v>7</v>
      </c>
      <c r="J7" s="7" t="s">
        <v>58</v>
      </c>
      <c r="L7" s="7" t="s">
        <v>72</v>
      </c>
    </row>
    <row r="8" customFormat="false" ht="17.15" hidden="false" customHeight="false" outlineLevel="0" collapsed="false">
      <c r="A8" s="0" t="s">
        <v>327</v>
      </c>
      <c r="B8" s="0" t="s">
        <v>328</v>
      </c>
      <c r="C8" s="0" t="s">
        <v>41</v>
      </c>
      <c r="D8" s="0" t="s">
        <v>329</v>
      </c>
      <c r="E8" s="0" t="s">
        <v>330</v>
      </c>
      <c r="F8" s="0" t="s">
        <v>331</v>
      </c>
      <c r="G8" s="6" t="s">
        <v>36</v>
      </c>
      <c r="H8" s="7" t="s">
        <v>7</v>
      </c>
      <c r="J8" s="7" t="s">
        <v>45</v>
      </c>
      <c r="L8" s="7" t="s">
        <v>38</v>
      </c>
      <c r="M8" s="7" t="s">
        <v>39</v>
      </c>
    </row>
    <row r="9" customFormat="false" ht="17.15" hidden="false" customHeight="false" outlineLevel="0" collapsed="false">
      <c r="A9" s="0" t="s">
        <v>332</v>
      </c>
      <c r="B9" s="0" t="s">
        <v>328</v>
      </c>
      <c r="C9" s="0" t="s">
        <v>333</v>
      </c>
      <c r="D9" s="0" t="s">
        <v>334</v>
      </c>
      <c r="E9" s="0" t="s">
        <v>335</v>
      </c>
      <c r="F9" s="0" t="s">
        <v>336</v>
      </c>
      <c r="G9" s="6" t="s">
        <v>36</v>
      </c>
      <c r="H9" s="7" t="s">
        <v>7</v>
      </c>
      <c r="J9" s="7" t="s">
        <v>51</v>
      </c>
      <c r="L9" s="7" t="s">
        <v>97</v>
      </c>
    </row>
    <row r="10" customFormat="false" ht="17.15" hidden="false" customHeight="false" outlineLevel="0" collapsed="false">
      <c r="A10" s="0" t="s">
        <v>337</v>
      </c>
      <c r="B10" s="0" t="s">
        <v>328</v>
      </c>
      <c r="C10" s="0" t="s">
        <v>338</v>
      </c>
      <c r="D10" s="0" t="s">
        <v>339</v>
      </c>
      <c r="E10" s="0" t="s">
        <v>340</v>
      </c>
      <c r="F10" s="0" t="s">
        <v>341</v>
      </c>
      <c r="G10" s="6" t="s">
        <v>36</v>
      </c>
      <c r="H10" s="7" t="s">
        <v>7</v>
      </c>
      <c r="J10" s="7" t="s">
        <v>84</v>
      </c>
      <c r="L10" s="7" t="s">
        <v>97</v>
      </c>
    </row>
    <row r="11" customFormat="false" ht="17.15" hidden="false" customHeight="false" outlineLevel="0" collapsed="false">
      <c r="A11" s="0" t="s">
        <v>342</v>
      </c>
      <c r="B11" s="0" t="s">
        <v>328</v>
      </c>
      <c r="C11" s="0" t="s">
        <v>343</v>
      </c>
      <c r="D11" s="0" t="s">
        <v>344</v>
      </c>
      <c r="E11" s="0" t="s">
        <v>345</v>
      </c>
      <c r="F11" s="0" t="s">
        <v>346</v>
      </c>
      <c r="G11" s="8" t="s">
        <v>71</v>
      </c>
      <c r="H11" s="7" t="s">
        <v>7</v>
      </c>
      <c r="J11" s="7" t="s">
        <v>58</v>
      </c>
      <c r="L11" s="7" t="s">
        <v>38</v>
      </c>
    </row>
    <row r="12" customFormat="false" ht="17.15" hidden="false" customHeight="false" outlineLevel="0" collapsed="false">
      <c r="A12" s="0" t="s">
        <v>347</v>
      </c>
      <c r="B12" s="0" t="s">
        <v>348</v>
      </c>
      <c r="C12" s="0" t="s">
        <v>33</v>
      </c>
      <c r="D12" s="0" t="s">
        <v>349</v>
      </c>
      <c r="E12" s="0" t="s">
        <v>350</v>
      </c>
      <c r="F12" s="0" t="s">
        <v>351</v>
      </c>
      <c r="G12" s="6" t="s">
        <v>36</v>
      </c>
      <c r="H12" s="7" t="s">
        <v>7</v>
      </c>
      <c r="J12" s="7" t="s">
        <v>58</v>
      </c>
      <c r="L12" s="7" t="s">
        <v>38</v>
      </c>
    </row>
    <row r="13" customFormat="false" ht="15" hidden="false" customHeight="false" outlineLevel="0" collapsed="false">
      <c r="A13" s="0" t="s">
        <v>352</v>
      </c>
      <c r="B13" s="0" t="s">
        <v>348</v>
      </c>
      <c r="C13" s="0" t="s">
        <v>61</v>
      </c>
      <c r="D13" s="0" t="s">
        <v>353</v>
      </c>
      <c r="E13" s="0" t="s">
        <v>354</v>
      </c>
      <c r="F13" s="0" t="s">
        <v>355</v>
      </c>
      <c r="G13" s="8" t="s">
        <v>71</v>
      </c>
      <c r="H13" s="7" t="s">
        <v>7</v>
      </c>
      <c r="J13" s="7" t="s">
        <v>135</v>
      </c>
      <c r="L13" s="7" t="s">
        <v>59</v>
      </c>
    </row>
    <row r="14" customFormat="false" ht="15" hidden="false" customHeight="false" outlineLevel="0" collapsed="false">
      <c r="A14" s="0" t="s">
        <v>356</v>
      </c>
      <c r="B14" s="0" t="s">
        <v>348</v>
      </c>
      <c r="C14" s="0" t="s">
        <v>67</v>
      </c>
      <c r="D14" s="0" t="s">
        <v>357</v>
      </c>
      <c r="E14" s="0" t="s">
        <v>358</v>
      </c>
      <c r="F14" s="0" t="s">
        <v>359</v>
      </c>
      <c r="G14" s="8" t="s">
        <v>71</v>
      </c>
      <c r="H14" s="7" t="s">
        <v>7</v>
      </c>
      <c r="J14" s="7" t="s">
        <v>135</v>
      </c>
      <c r="L14" s="7" t="s">
        <v>72</v>
      </c>
    </row>
    <row r="15" customFormat="false" ht="17.15" hidden="false" customHeight="false" outlineLevel="0" collapsed="false">
      <c r="A15" s="0" t="s">
        <v>360</v>
      </c>
      <c r="B15" s="0" t="s">
        <v>361</v>
      </c>
      <c r="C15" s="0" t="s">
        <v>362</v>
      </c>
      <c r="D15" s="0" t="s">
        <v>363</v>
      </c>
      <c r="E15" s="0" t="s">
        <v>364</v>
      </c>
      <c r="F15" s="0" t="s">
        <v>365</v>
      </c>
      <c r="G15" s="8" t="s">
        <v>71</v>
      </c>
      <c r="H15" s="7" t="s">
        <v>7</v>
      </c>
      <c r="J15" s="7" t="s">
        <v>141</v>
      </c>
      <c r="L15" s="7" t="s">
        <v>211</v>
      </c>
    </row>
    <row r="16" customFormat="false" ht="17.15" hidden="false" customHeight="false" outlineLevel="0" collapsed="false">
      <c r="A16" s="0" t="s">
        <v>366</v>
      </c>
      <c r="B16" s="0" t="s">
        <v>361</v>
      </c>
      <c r="C16" s="0" t="s">
        <v>367</v>
      </c>
      <c r="D16" s="0" t="s">
        <v>368</v>
      </c>
      <c r="E16" s="0" t="s">
        <v>369</v>
      </c>
      <c r="F16" s="0" t="s">
        <v>370</v>
      </c>
      <c r="G16" s="8" t="s">
        <v>71</v>
      </c>
      <c r="H16" s="7" t="s">
        <v>7</v>
      </c>
      <c r="J16" s="7" t="s">
        <v>135</v>
      </c>
      <c r="L16" s="7" t="s">
        <v>211</v>
      </c>
    </row>
    <row r="17" customFormat="false" ht="15" hidden="false" customHeight="false" outlineLevel="0" collapsed="false">
      <c r="A17" s="0" t="s">
        <v>371</v>
      </c>
      <c r="B17" s="0" t="s">
        <v>372</v>
      </c>
      <c r="C17" s="0" t="s">
        <v>373</v>
      </c>
      <c r="D17" s="0" t="s">
        <v>374</v>
      </c>
      <c r="E17" s="0" t="s">
        <v>375</v>
      </c>
      <c r="F17" s="0" t="s">
        <v>376</v>
      </c>
      <c r="G17" s="6" t="s">
        <v>36</v>
      </c>
      <c r="H17" s="7" t="s">
        <v>7</v>
      </c>
      <c r="J17" s="7" t="s">
        <v>65</v>
      </c>
      <c r="L17" s="7" t="s">
        <v>211</v>
      </c>
      <c r="M17" s="5" t="s">
        <v>377</v>
      </c>
    </row>
    <row r="18" customFormat="false" ht="17.15" hidden="false" customHeight="false" outlineLevel="0" collapsed="false">
      <c r="A18" s="0" t="s">
        <v>378</v>
      </c>
      <c r="B18" s="0" t="s">
        <v>372</v>
      </c>
      <c r="C18" s="0" t="s">
        <v>379</v>
      </c>
      <c r="D18" s="0" t="s">
        <v>380</v>
      </c>
      <c r="E18" s="0" t="s">
        <v>381</v>
      </c>
      <c r="F18" s="5" t="s">
        <v>382</v>
      </c>
      <c r="G18" s="6" t="s">
        <v>36</v>
      </c>
      <c r="H18" s="7" t="s">
        <v>7</v>
      </c>
      <c r="J18" s="7" t="s">
        <v>65</v>
      </c>
      <c r="L18" s="7" t="s">
        <v>211</v>
      </c>
      <c r="M18" s="5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30"/>
  </cols>
  <sheetData>
    <row r="1" customFormat="false" ht="34.5" hidden="false" customHeight="tru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9</v>
      </c>
    </row>
    <row r="2" customFormat="false" ht="15" hidden="false" customHeight="false" outlineLevel="0" collapsed="false">
      <c r="A2" s="0" t="s">
        <v>383</v>
      </c>
      <c r="B2" s="0" t="s">
        <v>384</v>
      </c>
      <c r="C2" s="0" t="s">
        <v>385</v>
      </c>
      <c r="D2" s="0" t="s">
        <v>386</v>
      </c>
      <c r="E2" s="0" t="s">
        <v>387</v>
      </c>
      <c r="F2" s="0" t="s">
        <v>388</v>
      </c>
      <c r="G2" s="6" t="s">
        <v>36</v>
      </c>
      <c r="H2" s="7" t="s">
        <v>7</v>
      </c>
      <c r="J2" s="7" t="s">
        <v>163</v>
      </c>
      <c r="L2" s="7" t="s">
        <v>211</v>
      </c>
    </row>
    <row r="3" customFormat="false" ht="17.15" hidden="false" customHeight="false" outlineLevel="0" collapsed="false">
      <c r="A3" s="0" t="s">
        <v>389</v>
      </c>
      <c r="B3" s="0" t="s">
        <v>384</v>
      </c>
      <c r="C3" s="0" t="s">
        <v>390</v>
      </c>
      <c r="D3" s="0" t="s">
        <v>391</v>
      </c>
      <c r="E3" s="0" t="s">
        <v>392</v>
      </c>
      <c r="F3" s="5" t="s">
        <v>393</v>
      </c>
      <c r="G3" s="6" t="s">
        <v>36</v>
      </c>
      <c r="H3" s="7" t="s">
        <v>7</v>
      </c>
      <c r="J3" s="7" t="s">
        <v>37</v>
      </c>
      <c r="L3" s="7" t="s">
        <v>394</v>
      </c>
      <c r="M3" s="5" t="s">
        <v>395</v>
      </c>
    </row>
    <row r="4" customFormat="false" ht="17.15" hidden="false" customHeight="false" outlineLevel="0" collapsed="false">
      <c r="A4" s="0" t="s">
        <v>396</v>
      </c>
      <c r="B4" s="0" t="s">
        <v>384</v>
      </c>
      <c r="C4" s="0" t="s">
        <v>397</v>
      </c>
      <c r="D4" s="0" t="s">
        <v>398</v>
      </c>
      <c r="E4" s="0" t="s">
        <v>399</v>
      </c>
      <c r="F4" s="5" t="s">
        <v>400</v>
      </c>
      <c r="G4" s="8" t="s">
        <v>71</v>
      </c>
      <c r="H4" s="7" t="s">
        <v>7</v>
      </c>
      <c r="J4" s="7" t="s">
        <v>45</v>
      </c>
      <c r="L4" s="7" t="s">
        <v>394</v>
      </c>
      <c r="M4" s="5" t="s">
        <v>401</v>
      </c>
    </row>
    <row r="5" customFormat="false" ht="17.15" hidden="false" customHeight="false" outlineLevel="0" collapsed="false">
      <c r="A5" s="0" t="s">
        <v>402</v>
      </c>
      <c r="B5" s="0" t="s">
        <v>384</v>
      </c>
      <c r="C5" s="0" t="s">
        <v>403</v>
      </c>
      <c r="D5" s="0" t="s">
        <v>404</v>
      </c>
      <c r="E5" s="0" t="s">
        <v>405</v>
      </c>
      <c r="F5" s="5" t="s">
        <v>406</v>
      </c>
      <c r="G5" s="9" t="s">
        <v>320</v>
      </c>
      <c r="H5" s="7" t="s">
        <v>7</v>
      </c>
      <c r="J5" s="7" t="s">
        <v>51</v>
      </c>
      <c r="L5" s="7" t="s">
        <v>394</v>
      </c>
      <c r="M5" s="5" t="s">
        <v>407</v>
      </c>
    </row>
    <row r="6" customFormat="false" ht="17.15" hidden="false" customHeight="false" outlineLevel="0" collapsed="false">
      <c r="A6" s="0" t="s">
        <v>408</v>
      </c>
      <c r="B6" s="0" t="s">
        <v>384</v>
      </c>
      <c r="C6" s="0" t="s">
        <v>409</v>
      </c>
      <c r="D6" s="0" t="s">
        <v>410</v>
      </c>
      <c r="E6" s="0" t="s">
        <v>411</v>
      </c>
      <c r="F6" s="5" t="s">
        <v>412</v>
      </c>
      <c r="G6" s="8" t="s">
        <v>71</v>
      </c>
      <c r="H6" s="7" t="s">
        <v>7</v>
      </c>
      <c r="J6" s="7" t="s">
        <v>51</v>
      </c>
      <c r="L6" s="7" t="s">
        <v>394</v>
      </c>
      <c r="M6" s="5" t="s">
        <v>407</v>
      </c>
    </row>
    <row r="7" customFormat="false" ht="17.15" hidden="false" customHeight="false" outlineLevel="0" collapsed="false">
      <c r="A7" s="0" t="s">
        <v>413</v>
      </c>
      <c r="B7" s="0" t="s">
        <v>414</v>
      </c>
      <c r="C7" s="0" t="s">
        <v>415</v>
      </c>
      <c r="D7" s="0" t="s">
        <v>416</v>
      </c>
      <c r="E7" s="0" t="s">
        <v>417</v>
      </c>
      <c r="F7" s="0" t="s">
        <v>418</v>
      </c>
      <c r="G7" s="6" t="s">
        <v>36</v>
      </c>
      <c r="H7" s="7" t="s">
        <v>7</v>
      </c>
      <c r="J7" s="7" t="s">
        <v>37</v>
      </c>
      <c r="L7" s="7" t="s">
        <v>211</v>
      </c>
      <c r="M7" s="5" t="s">
        <v>419</v>
      </c>
    </row>
    <row r="8" customFormat="false" ht="15" hidden="false" customHeight="false" outlineLevel="0" collapsed="false">
      <c r="A8" s="0" t="s">
        <v>420</v>
      </c>
      <c r="B8" s="0" t="s">
        <v>414</v>
      </c>
      <c r="C8" s="0" t="s">
        <v>421</v>
      </c>
      <c r="D8" s="0" t="s">
        <v>422</v>
      </c>
      <c r="E8" s="0" t="s">
        <v>423</v>
      </c>
      <c r="F8" s="0" t="s">
        <v>424</v>
      </c>
      <c r="G8" s="8" t="s">
        <v>71</v>
      </c>
      <c r="H8" s="7" t="s">
        <v>7</v>
      </c>
      <c r="J8" s="7" t="s">
        <v>58</v>
      </c>
      <c r="L8" s="7" t="s">
        <v>211</v>
      </c>
    </row>
    <row r="9" customFormat="false" ht="15" hidden="false" customHeight="false" outlineLevel="0" collapsed="false">
      <c r="A9" s="0" t="s">
        <v>425</v>
      </c>
      <c r="B9" s="0" t="s">
        <v>414</v>
      </c>
      <c r="C9" s="0" t="s">
        <v>426</v>
      </c>
      <c r="D9" s="0" t="s">
        <v>427</v>
      </c>
      <c r="E9" s="0" t="s">
        <v>428</v>
      </c>
      <c r="F9" s="0" t="s">
        <v>429</v>
      </c>
      <c r="G9" s="8" t="s">
        <v>71</v>
      </c>
      <c r="H9" s="7" t="s">
        <v>7</v>
      </c>
      <c r="J9" s="7" t="s">
        <v>58</v>
      </c>
      <c r="L9" s="7" t="s">
        <v>211</v>
      </c>
    </row>
    <row r="10" customFormat="false" ht="15" hidden="false" customHeight="false" outlineLevel="0" collapsed="false">
      <c r="A10" s="0" t="s">
        <v>430</v>
      </c>
      <c r="B10" s="0" t="s">
        <v>431</v>
      </c>
      <c r="C10" s="0" t="s">
        <v>385</v>
      </c>
      <c r="D10" s="0" t="s">
        <v>432</v>
      </c>
      <c r="E10" s="0" t="s">
        <v>433</v>
      </c>
      <c r="F10" s="0" t="s">
        <v>434</v>
      </c>
      <c r="G10" s="8" t="s">
        <v>71</v>
      </c>
      <c r="H10" s="7" t="s">
        <v>7</v>
      </c>
      <c r="J10" s="7" t="s">
        <v>217</v>
      </c>
      <c r="L10" s="7" t="s">
        <v>211</v>
      </c>
    </row>
    <row r="11" customFormat="false" ht="17.15" hidden="false" customHeight="false" outlineLevel="0" collapsed="false">
      <c r="A11" s="0" t="s">
        <v>435</v>
      </c>
      <c r="B11" s="0" t="s">
        <v>431</v>
      </c>
      <c r="C11" s="0" t="s">
        <v>436</v>
      </c>
      <c r="D11" s="0" t="s">
        <v>437</v>
      </c>
      <c r="E11" s="0" t="s">
        <v>438</v>
      </c>
      <c r="F11" s="5" t="s">
        <v>439</v>
      </c>
      <c r="G11" s="8" t="s">
        <v>71</v>
      </c>
      <c r="H11" s="7" t="s">
        <v>7</v>
      </c>
      <c r="J11" s="7" t="s">
        <v>51</v>
      </c>
      <c r="L11" s="7" t="s">
        <v>211</v>
      </c>
      <c r="M11" s="5" t="s">
        <v>419</v>
      </c>
    </row>
    <row r="12" customFormat="false" ht="15" hidden="false" customHeight="false" outlineLevel="0" collapsed="false">
      <c r="A12" s="0" t="s">
        <v>440</v>
      </c>
      <c r="B12" s="0" t="s">
        <v>441</v>
      </c>
      <c r="C12" s="0" t="s">
        <v>442</v>
      </c>
      <c r="D12" s="0" t="s">
        <v>443</v>
      </c>
      <c r="E12" s="0" t="s">
        <v>444</v>
      </c>
      <c r="F12" s="0" t="s">
        <v>445</v>
      </c>
      <c r="G12" s="8" t="s">
        <v>71</v>
      </c>
      <c r="H12" s="7" t="s">
        <v>7</v>
      </c>
      <c r="J12" s="7" t="s">
        <v>45</v>
      </c>
      <c r="L12" s="7" t="s">
        <v>211</v>
      </c>
      <c r="M12" s="5" t="s">
        <v>446</v>
      </c>
    </row>
    <row r="13" customFormat="false" ht="17.15" hidden="false" customHeight="false" outlineLevel="0" collapsed="false">
      <c r="A13" s="0" t="s">
        <v>447</v>
      </c>
      <c r="B13" s="0" t="s">
        <v>441</v>
      </c>
      <c r="C13" s="0" t="s">
        <v>448</v>
      </c>
      <c r="D13" s="0" t="s">
        <v>449</v>
      </c>
      <c r="E13" s="0" t="s">
        <v>450</v>
      </c>
      <c r="F13" s="0" t="s">
        <v>451</v>
      </c>
      <c r="G13" s="9" t="s">
        <v>320</v>
      </c>
      <c r="H13" s="7" t="s">
        <v>7</v>
      </c>
      <c r="J13" s="7" t="s">
        <v>37</v>
      </c>
      <c r="L13" s="7" t="s">
        <v>211</v>
      </c>
      <c r="M13" s="5" t="s">
        <v>419</v>
      </c>
    </row>
    <row r="14" customFormat="false" ht="17.15" hidden="false" customHeight="false" outlineLevel="0" collapsed="false">
      <c r="A14" s="0" t="s">
        <v>452</v>
      </c>
      <c r="B14" s="0" t="s">
        <v>441</v>
      </c>
      <c r="C14" s="0" t="s">
        <v>453</v>
      </c>
      <c r="D14" s="0" t="s">
        <v>454</v>
      </c>
      <c r="E14" s="0" t="s">
        <v>455</v>
      </c>
      <c r="F14" s="0" t="s">
        <v>456</v>
      </c>
      <c r="G14" s="9" t="s">
        <v>320</v>
      </c>
      <c r="H14" s="7" t="s">
        <v>7</v>
      </c>
      <c r="J14" s="7" t="s">
        <v>51</v>
      </c>
      <c r="L14" s="7" t="s">
        <v>211</v>
      </c>
      <c r="M14" s="5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30"/>
  </cols>
  <sheetData>
    <row r="1" customFormat="false" ht="34.5" hidden="false" customHeight="tru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9</v>
      </c>
    </row>
    <row r="2" customFormat="false" ht="15" hidden="false" customHeight="false" outlineLevel="0" collapsed="false">
      <c r="A2" s="0" t="s">
        <v>457</v>
      </c>
      <c r="B2" s="0" t="s">
        <v>458</v>
      </c>
      <c r="C2" s="0" t="s">
        <v>459</v>
      </c>
      <c r="D2" s="0" t="s">
        <v>460</v>
      </c>
      <c r="E2" s="0" t="s">
        <v>461</v>
      </c>
      <c r="F2" s="0" t="s">
        <v>462</v>
      </c>
      <c r="G2" s="6" t="s">
        <v>36</v>
      </c>
      <c r="H2" s="7" t="s">
        <v>7</v>
      </c>
      <c r="J2" s="7" t="s">
        <v>58</v>
      </c>
      <c r="L2" s="7" t="s">
        <v>211</v>
      </c>
    </row>
    <row r="3" customFormat="false" ht="15" hidden="false" customHeight="false" outlineLevel="0" collapsed="false">
      <c r="A3" s="0" t="s">
        <v>463</v>
      </c>
      <c r="B3" s="0" t="s">
        <v>458</v>
      </c>
      <c r="C3" s="0" t="s">
        <v>464</v>
      </c>
      <c r="D3" s="0" t="s">
        <v>465</v>
      </c>
      <c r="E3" s="0" t="s">
        <v>466</v>
      </c>
      <c r="F3" s="0" t="s">
        <v>467</v>
      </c>
      <c r="G3" s="6" t="s">
        <v>36</v>
      </c>
      <c r="H3" s="7" t="s">
        <v>7</v>
      </c>
      <c r="J3" s="7" t="s">
        <v>135</v>
      </c>
      <c r="L3" s="7" t="s">
        <v>59</v>
      </c>
    </row>
    <row r="4" customFormat="false" ht="15" hidden="false" customHeight="false" outlineLevel="0" collapsed="false">
      <c r="A4" s="0" t="s">
        <v>468</v>
      </c>
      <c r="B4" s="0" t="s">
        <v>458</v>
      </c>
      <c r="C4" s="0" t="s">
        <v>86</v>
      </c>
      <c r="D4" s="0" t="s">
        <v>469</v>
      </c>
      <c r="E4" s="0" t="s">
        <v>470</v>
      </c>
      <c r="F4" s="0" t="s">
        <v>467</v>
      </c>
      <c r="G4" s="8" t="s">
        <v>71</v>
      </c>
      <c r="H4" s="7" t="s">
        <v>7</v>
      </c>
      <c r="J4" s="7" t="s">
        <v>135</v>
      </c>
      <c r="L4" s="7" t="s">
        <v>90</v>
      </c>
    </row>
    <row r="5" customFormat="false" ht="17.15" hidden="false" customHeight="false" outlineLevel="0" collapsed="false">
      <c r="A5" s="0" t="s">
        <v>471</v>
      </c>
      <c r="B5" s="0" t="s">
        <v>458</v>
      </c>
      <c r="C5" s="0" t="s">
        <v>472</v>
      </c>
      <c r="D5" s="0" t="s">
        <v>473</v>
      </c>
      <c r="E5" s="0" t="s">
        <v>474</v>
      </c>
      <c r="F5" s="0" t="s">
        <v>475</v>
      </c>
      <c r="G5" s="6" t="s">
        <v>36</v>
      </c>
      <c r="H5" s="7" t="s">
        <v>7</v>
      </c>
      <c r="J5" s="7" t="s">
        <v>65</v>
      </c>
      <c r="L5" s="7" t="s">
        <v>38</v>
      </c>
      <c r="M5" s="7" t="s">
        <v>476</v>
      </c>
    </row>
    <row r="6" customFormat="false" ht="15" hidden="false" customHeight="false" outlineLevel="0" collapsed="false">
      <c r="A6" s="0" t="s">
        <v>477</v>
      </c>
      <c r="B6" s="0" t="s">
        <v>458</v>
      </c>
      <c r="C6" s="0" t="s">
        <v>478</v>
      </c>
      <c r="D6" s="0" t="s">
        <v>479</v>
      </c>
      <c r="E6" s="0" t="s">
        <v>480</v>
      </c>
      <c r="F6" s="0" t="s">
        <v>467</v>
      </c>
      <c r="G6" s="6" t="s">
        <v>36</v>
      </c>
      <c r="H6" s="7" t="s">
        <v>7</v>
      </c>
      <c r="J6" s="7" t="s">
        <v>135</v>
      </c>
      <c r="L6" s="7" t="s">
        <v>97</v>
      </c>
    </row>
    <row r="7" customFormat="false" ht="15" hidden="false" customHeight="false" outlineLevel="0" collapsed="false">
      <c r="A7" s="0" t="s">
        <v>481</v>
      </c>
      <c r="B7" s="0" t="s">
        <v>458</v>
      </c>
      <c r="C7" s="0" t="s">
        <v>482</v>
      </c>
      <c r="D7" s="0" t="s">
        <v>483</v>
      </c>
      <c r="E7" s="0" t="s">
        <v>484</v>
      </c>
      <c r="F7" s="0" t="s">
        <v>467</v>
      </c>
      <c r="G7" s="9" t="s">
        <v>320</v>
      </c>
      <c r="H7" s="7" t="s">
        <v>7</v>
      </c>
      <c r="J7" s="7" t="s">
        <v>141</v>
      </c>
      <c r="L7" s="7" t="s">
        <v>321</v>
      </c>
    </row>
    <row r="8" customFormat="false" ht="15" hidden="false" customHeight="false" outlineLevel="0" collapsed="false">
      <c r="A8" s="0" t="s">
        <v>485</v>
      </c>
      <c r="B8" s="0" t="s">
        <v>458</v>
      </c>
      <c r="C8" s="0" t="s">
        <v>486</v>
      </c>
      <c r="D8" s="0" t="s">
        <v>487</v>
      </c>
      <c r="E8" s="0" t="s">
        <v>488</v>
      </c>
      <c r="F8" s="0" t="s">
        <v>467</v>
      </c>
      <c r="G8" s="8" t="s">
        <v>71</v>
      </c>
      <c r="H8" s="7" t="s">
        <v>7</v>
      </c>
      <c r="J8" s="7" t="s">
        <v>135</v>
      </c>
      <c r="L8" s="7" t="s">
        <v>72</v>
      </c>
    </row>
    <row r="9" customFormat="false" ht="17.15" hidden="false" customHeight="false" outlineLevel="0" collapsed="false">
      <c r="A9" s="0" t="s">
        <v>489</v>
      </c>
      <c r="B9" s="0" t="s">
        <v>458</v>
      </c>
      <c r="C9" s="0" t="s">
        <v>490</v>
      </c>
      <c r="D9" s="0" t="s">
        <v>491</v>
      </c>
      <c r="E9" s="0" t="s">
        <v>492</v>
      </c>
      <c r="F9" s="0" t="s">
        <v>493</v>
      </c>
      <c r="G9" s="6" t="s">
        <v>36</v>
      </c>
      <c r="H9" s="7" t="s">
        <v>7</v>
      </c>
      <c r="J9" s="7" t="s">
        <v>65</v>
      </c>
      <c r="L9" s="7" t="s">
        <v>38</v>
      </c>
      <c r="M9" s="7" t="s">
        <v>39</v>
      </c>
    </row>
    <row r="10" customFormat="false" ht="15" hidden="false" customHeight="false" outlineLevel="0" collapsed="false">
      <c r="A10" s="0" t="s">
        <v>494</v>
      </c>
      <c r="B10" s="0" t="s">
        <v>495</v>
      </c>
      <c r="C10" s="0" t="s">
        <v>496</v>
      </c>
      <c r="D10" s="0" t="s">
        <v>497</v>
      </c>
      <c r="E10" s="0" t="s">
        <v>498</v>
      </c>
      <c r="F10" s="0" t="s">
        <v>499</v>
      </c>
      <c r="G10" s="6" t="s">
        <v>36</v>
      </c>
      <c r="H10" s="7" t="s">
        <v>7</v>
      </c>
      <c r="J10" s="7" t="s">
        <v>58</v>
      </c>
      <c r="L10" s="7" t="s">
        <v>211</v>
      </c>
    </row>
    <row r="11" customFormat="false" ht="15" hidden="false" customHeight="false" outlineLevel="0" collapsed="false">
      <c r="A11" s="0" t="s">
        <v>500</v>
      </c>
      <c r="B11" s="0" t="s">
        <v>495</v>
      </c>
      <c r="C11" s="0" t="s">
        <v>501</v>
      </c>
      <c r="D11" s="0" t="s">
        <v>502</v>
      </c>
      <c r="E11" s="0" t="s">
        <v>503</v>
      </c>
      <c r="F11" s="0" t="s">
        <v>504</v>
      </c>
      <c r="G11" s="6" t="s">
        <v>36</v>
      </c>
      <c r="H11" s="7" t="s">
        <v>7</v>
      </c>
      <c r="J11" s="7" t="s">
        <v>135</v>
      </c>
      <c r="L11" s="7" t="s">
        <v>211</v>
      </c>
    </row>
    <row r="12" customFormat="false" ht="17.15" hidden="false" customHeight="false" outlineLevel="0" collapsed="false">
      <c r="A12" s="0" t="s">
        <v>505</v>
      </c>
      <c r="B12" s="0" t="s">
        <v>495</v>
      </c>
      <c r="C12" s="0" t="s">
        <v>506</v>
      </c>
      <c r="D12" s="0" t="s">
        <v>507</v>
      </c>
      <c r="E12" s="0" t="s">
        <v>508</v>
      </c>
      <c r="F12" s="0" t="s">
        <v>509</v>
      </c>
      <c r="G12" s="6" t="s">
        <v>36</v>
      </c>
      <c r="H12" s="7" t="s">
        <v>7</v>
      </c>
      <c r="J12" s="7" t="s">
        <v>65</v>
      </c>
      <c r="L12" s="7" t="s">
        <v>211</v>
      </c>
      <c r="M12" s="5" t="s">
        <v>510</v>
      </c>
    </row>
    <row r="13" customFormat="false" ht="17.15" hidden="false" customHeight="false" outlineLevel="0" collapsed="false">
      <c r="A13" s="0" t="s">
        <v>511</v>
      </c>
      <c r="B13" s="0" t="s">
        <v>512</v>
      </c>
      <c r="C13" s="0" t="s">
        <v>513</v>
      </c>
      <c r="D13" s="0" t="s">
        <v>514</v>
      </c>
      <c r="E13" s="0" t="s">
        <v>515</v>
      </c>
      <c r="F13" s="0" t="s">
        <v>516</v>
      </c>
      <c r="G13" s="8" t="s">
        <v>71</v>
      </c>
      <c r="H13" s="7" t="s">
        <v>7</v>
      </c>
      <c r="J13" s="7" t="s">
        <v>37</v>
      </c>
      <c r="L13" s="7" t="s">
        <v>211</v>
      </c>
      <c r="M13" s="5" t="s">
        <v>517</v>
      </c>
    </row>
    <row r="14" customFormat="false" ht="17.15" hidden="false" customHeight="false" outlineLevel="0" collapsed="false">
      <c r="A14" s="0" t="s">
        <v>518</v>
      </c>
      <c r="B14" s="0" t="s">
        <v>512</v>
      </c>
      <c r="C14" s="0" t="s">
        <v>519</v>
      </c>
      <c r="D14" s="0" t="s">
        <v>520</v>
      </c>
      <c r="E14" s="0" t="s">
        <v>521</v>
      </c>
      <c r="F14" s="0" t="s">
        <v>522</v>
      </c>
      <c r="G14" s="9" t="s">
        <v>320</v>
      </c>
      <c r="H14" s="7" t="s">
        <v>7</v>
      </c>
      <c r="J14" s="7" t="s">
        <v>523</v>
      </c>
      <c r="L14" s="7" t="s">
        <v>211</v>
      </c>
      <c r="M14" s="5" t="s">
        <v>524</v>
      </c>
    </row>
    <row r="15" customFormat="false" ht="17.15" hidden="false" customHeight="false" outlineLevel="0" collapsed="false">
      <c r="A15" s="0" t="s">
        <v>525</v>
      </c>
      <c r="B15" s="0" t="s">
        <v>512</v>
      </c>
      <c r="C15" s="0" t="s">
        <v>526</v>
      </c>
      <c r="D15" s="0" t="s">
        <v>526</v>
      </c>
      <c r="E15" s="0" t="s">
        <v>527</v>
      </c>
      <c r="F15" s="0" t="s">
        <v>528</v>
      </c>
      <c r="G15" s="8" t="s">
        <v>71</v>
      </c>
      <c r="H15" s="7" t="s">
        <v>7</v>
      </c>
      <c r="J15" s="7" t="s">
        <v>529</v>
      </c>
      <c r="L15" s="7" t="s">
        <v>394</v>
      </c>
      <c r="M15" s="5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30"/>
  </cols>
  <sheetData>
    <row r="1" customFormat="false" ht="34.5" hidden="false" customHeight="tru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9</v>
      </c>
    </row>
    <row r="2" customFormat="false" ht="17.15" hidden="false" customHeight="false" outlineLevel="0" collapsed="false">
      <c r="A2" s="0" t="s">
        <v>531</v>
      </c>
      <c r="B2" s="0" t="s">
        <v>532</v>
      </c>
      <c r="C2" s="0" t="s">
        <v>533</v>
      </c>
      <c r="D2" s="0" t="s">
        <v>534</v>
      </c>
      <c r="E2" s="0" t="s">
        <v>535</v>
      </c>
      <c r="F2" s="0" t="s">
        <v>536</v>
      </c>
      <c r="G2" s="6" t="s">
        <v>36</v>
      </c>
      <c r="H2" s="7" t="s">
        <v>7</v>
      </c>
      <c r="J2" s="7" t="s">
        <v>65</v>
      </c>
      <c r="L2" s="7" t="s">
        <v>211</v>
      </c>
    </row>
    <row r="3" customFormat="false" ht="17.15" hidden="false" customHeight="false" outlineLevel="0" collapsed="false">
      <c r="A3" s="0" t="s">
        <v>537</v>
      </c>
      <c r="B3" s="0" t="s">
        <v>532</v>
      </c>
      <c r="C3" s="0" t="s">
        <v>538</v>
      </c>
      <c r="D3" s="0" t="s">
        <v>539</v>
      </c>
      <c r="E3" s="0" t="s">
        <v>540</v>
      </c>
      <c r="F3" s="0" t="s">
        <v>541</v>
      </c>
      <c r="G3" s="8" t="s">
        <v>71</v>
      </c>
      <c r="H3" s="7" t="s">
        <v>7</v>
      </c>
      <c r="J3" s="7" t="s">
        <v>135</v>
      </c>
      <c r="L3" s="7" t="s">
        <v>211</v>
      </c>
    </row>
    <row r="4" customFormat="false" ht="17.15" hidden="false" customHeight="false" outlineLevel="0" collapsed="false">
      <c r="A4" s="0" t="s">
        <v>542</v>
      </c>
      <c r="B4" s="0" t="s">
        <v>532</v>
      </c>
      <c r="C4" s="0" t="s">
        <v>543</v>
      </c>
      <c r="D4" s="0" t="s">
        <v>544</v>
      </c>
      <c r="E4" s="0" t="s">
        <v>545</v>
      </c>
      <c r="F4" s="0" t="s">
        <v>546</v>
      </c>
      <c r="G4" s="8" t="s">
        <v>71</v>
      </c>
      <c r="H4" s="7" t="s">
        <v>7</v>
      </c>
      <c r="J4" s="7" t="s">
        <v>141</v>
      </c>
      <c r="L4" s="7" t="s">
        <v>211</v>
      </c>
    </row>
    <row r="5" customFormat="false" ht="17.15" hidden="false" customHeight="false" outlineLevel="0" collapsed="false">
      <c r="A5" s="0" t="s">
        <v>547</v>
      </c>
      <c r="B5" s="0" t="s">
        <v>548</v>
      </c>
      <c r="C5" s="0" t="s">
        <v>549</v>
      </c>
      <c r="D5" s="0" t="s">
        <v>550</v>
      </c>
      <c r="E5" s="0" t="s">
        <v>551</v>
      </c>
      <c r="F5" s="0" t="s">
        <v>552</v>
      </c>
      <c r="G5" s="6" t="s">
        <v>36</v>
      </c>
      <c r="H5" s="7" t="s">
        <v>7</v>
      </c>
      <c r="J5" s="7" t="s">
        <v>135</v>
      </c>
      <c r="L5" s="7" t="s">
        <v>211</v>
      </c>
    </row>
    <row r="6" customFormat="false" ht="17.15" hidden="false" customHeight="false" outlineLevel="0" collapsed="false">
      <c r="A6" s="0" t="s">
        <v>553</v>
      </c>
      <c r="B6" s="0" t="s">
        <v>548</v>
      </c>
      <c r="C6" s="0" t="s">
        <v>554</v>
      </c>
      <c r="D6" s="0" t="s">
        <v>555</v>
      </c>
      <c r="E6" s="0" t="s">
        <v>556</v>
      </c>
      <c r="F6" s="5" t="s">
        <v>557</v>
      </c>
      <c r="G6" s="8" t="s">
        <v>71</v>
      </c>
      <c r="H6" s="7" t="s">
        <v>7</v>
      </c>
      <c r="J6" s="7" t="s">
        <v>65</v>
      </c>
      <c r="L6" s="7" t="s">
        <v>211</v>
      </c>
    </row>
    <row r="7" customFormat="false" ht="17.15" hidden="false" customHeight="false" outlineLevel="0" collapsed="false">
      <c r="A7" s="0" t="s">
        <v>558</v>
      </c>
      <c r="B7" s="0" t="s">
        <v>559</v>
      </c>
      <c r="C7" s="0" t="s">
        <v>560</v>
      </c>
      <c r="D7" s="0" t="s">
        <v>561</v>
      </c>
      <c r="E7" s="0" t="s">
        <v>562</v>
      </c>
      <c r="F7" s="5" t="s">
        <v>563</v>
      </c>
      <c r="G7" s="8" t="s">
        <v>71</v>
      </c>
      <c r="H7" s="7" t="s">
        <v>7</v>
      </c>
      <c r="J7" s="7" t="s">
        <v>141</v>
      </c>
      <c r="L7" s="7" t="s">
        <v>211</v>
      </c>
    </row>
    <row r="8" customFormat="false" ht="17.15" hidden="false" customHeight="false" outlineLevel="0" collapsed="false">
      <c r="A8" s="0" t="s">
        <v>564</v>
      </c>
      <c r="B8" s="0" t="s">
        <v>559</v>
      </c>
      <c r="C8" s="0" t="s">
        <v>565</v>
      </c>
      <c r="D8" s="0" t="s">
        <v>566</v>
      </c>
      <c r="E8" s="0" t="s">
        <v>567</v>
      </c>
      <c r="F8" s="5" t="s">
        <v>568</v>
      </c>
      <c r="G8" s="6" t="s">
        <v>36</v>
      </c>
      <c r="H8" s="7" t="s">
        <v>7</v>
      </c>
      <c r="J8" s="7" t="s">
        <v>135</v>
      </c>
      <c r="L8" s="7" t="s">
        <v>211</v>
      </c>
    </row>
    <row r="9" customFormat="false" ht="17.15" hidden="false" customHeight="false" outlineLevel="0" collapsed="false">
      <c r="A9" s="0" t="s">
        <v>569</v>
      </c>
      <c r="B9" s="0" t="s">
        <v>559</v>
      </c>
      <c r="C9" s="0" t="s">
        <v>570</v>
      </c>
      <c r="D9" s="0" t="s">
        <v>571</v>
      </c>
      <c r="E9" s="0" t="s">
        <v>572</v>
      </c>
      <c r="F9" s="5" t="s">
        <v>573</v>
      </c>
      <c r="G9" s="8" t="s">
        <v>71</v>
      </c>
      <c r="H9" s="7" t="s">
        <v>7</v>
      </c>
      <c r="J9" s="7" t="s">
        <v>141</v>
      </c>
      <c r="L9" s="7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30"/>
  </cols>
  <sheetData>
    <row r="1" customFormat="false" ht="34.5" hidden="false" customHeight="tru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9</v>
      </c>
    </row>
    <row r="2" customFormat="false" ht="17.15" hidden="false" customHeight="false" outlineLevel="0" collapsed="false">
      <c r="A2" s="0" t="s">
        <v>574</v>
      </c>
      <c r="B2" s="0" t="s">
        <v>575</v>
      </c>
      <c r="C2" s="0" t="s">
        <v>576</v>
      </c>
      <c r="D2" s="0" t="s">
        <v>577</v>
      </c>
      <c r="E2" s="0" t="s">
        <v>578</v>
      </c>
      <c r="F2" s="0" t="s">
        <v>579</v>
      </c>
      <c r="G2" s="6" t="s">
        <v>36</v>
      </c>
      <c r="H2" s="7" t="s">
        <v>7</v>
      </c>
      <c r="J2" s="7" t="s">
        <v>84</v>
      </c>
      <c r="L2" s="7" t="s">
        <v>211</v>
      </c>
    </row>
    <row r="3" customFormat="false" ht="17.15" hidden="false" customHeight="false" outlineLevel="0" collapsed="false">
      <c r="A3" s="0" t="s">
        <v>580</v>
      </c>
      <c r="B3" s="0" t="s">
        <v>575</v>
      </c>
      <c r="C3" s="0" t="s">
        <v>581</v>
      </c>
      <c r="D3" s="0" t="s">
        <v>582</v>
      </c>
      <c r="E3" s="0" t="s">
        <v>583</v>
      </c>
      <c r="F3" s="0" t="s">
        <v>584</v>
      </c>
      <c r="G3" s="8" t="s">
        <v>71</v>
      </c>
      <c r="H3" s="7" t="s">
        <v>7</v>
      </c>
      <c r="J3" s="7" t="s">
        <v>58</v>
      </c>
      <c r="L3" s="7" t="s">
        <v>211</v>
      </c>
    </row>
    <row r="4" customFormat="false" ht="17.15" hidden="false" customHeight="false" outlineLevel="0" collapsed="false">
      <c r="A4" s="0" t="s">
        <v>585</v>
      </c>
      <c r="B4" s="0" t="s">
        <v>586</v>
      </c>
      <c r="C4" s="0" t="s">
        <v>587</v>
      </c>
      <c r="D4" s="0" t="s">
        <v>588</v>
      </c>
      <c r="E4" s="0" t="s">
        <v>589</v>
      </c>
      <c r="F4" s="0" t="s">
        <v>590</v>
      </c>
      <c r="G4" s="8" t="s">
        <v>71</v>
      </c>
      <c r="H4" s="7" t="s">
        <v>7</v>
      </c>
      <c r="J4" s="7" t="s">
        <v>58</v>
      </c>
      <c r="L4" s="7" t="s">
        <v>211</v>
      </c>
    </row>
    <row r="5" customFormat="false" ht="17.15" hidden="false" customHeight="false" outlineLevel="0" collapsed="false">
      <c r="A5" s="0" t="s">
        <v>591</v>
      </c>
      <c r="B5" s="0" t="s">
        <v>586</v>
      </c>
      <c r="C5" s="0" t="s">
        <v>592</v>
      </c>
      <c r="D5" s="0" t="s">
        <v>593</v>
      </c>
      <c r="E5" s="0" t="s">
        <v>594</v>
      </c>
      <c r="F5" s="0" t="s">
        <v>595</v>
      </c>
      <c r="G5" s="8" t="s">
        <v>71</v>
      </c>
      <c r="H5" s="7" t="s">
        <v>7</v>
      </c>
      <c r="J5" s="7" t="s">
        <v>51</v>
      </c>
      <c r="L5" s="7" t="s">
        <v>211</v>
      </c>
    </row>
    <row r="6" customFormat="false" ht="15" hidden="false" customHeight="false" outlineLevel="0" collapsed="false">
      <c r="A6" s="0" t="s">
        <v>596</v>
      </c>
      <c r="B6" s="0" t="s">
        <v>597</v>
      </c>
      <c r="C6" s="0" t="s">
        <v>598</v>
      </c>
      <c r="D6" s="0" t="s">
        <v>599</v>
      </c>
      <c r="E6" s="0" t="s">
        <v>600</v>
      </c>
      <c r="F6" s="0" t="s">
        <v>601</v>
      </c>
      <c r="G6" s="6" t="s">
        <v>36</v>
      </c>
      <c r="H6" s="7" t="s">
        <v>7</v>
      </c>
      <c r="J6" s="7" t="s">
        <v>529</v>
      </c>
      <c r="L6" s="7" t="s">
        <v>211</v>
      </c>
    </row>
    <row r="7" customFormat="false" ht="17.15" hidden="false" customHeight="false" outlineLevel="0" collapsed="false">
      <c r="A7" s="0" t="s">
        <v>602</v>
      </c>
      <c r="B7" s="0" t="s">
        <v>597</v>
      </c>
      <c r="C7" s="0" t="s">
        <v>603</v>
      </c>
      <c r="D7" s="0" t="s">
        <v>604</v>
      </c>
      <c r="E7" s="0" t="s">
        <v>605</v>
      </c>
      <c r="F7" s="0" t="s">
        <v>606</v>
      </c>
      <c r="G7" s="8" t="s">
        <v>71</v>
      </c>
      <c r="H7" s="7" t="s">
        <v>7</v>
      </c>
      <c r="J7" s="7" t="s">
        <v>65</v>
      </c>
      <c r="L7" s="7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5"/>
    <col collapsed="false" customWidth="true" hidden="false" outlineLevel="0" max="13" min="13" style="0" width="30"/>
  </cols>
  <sheetData>
    <row r="1" customFormat="false" ht="34.5" hidden="false" customHeight="tru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9</v>
      </c>
    </row>
    <row r="2" customFormat="false" ht="17.15" hidden="false" customHeight="false" outlineLevel="0" collapsed="false">
      <c r="A2" s="0" t="s">
        <v>607</v>
      </c>
      <c r="B2" s="0" t="s">
        <v>608</v>
      </c>
      <c r="C2" s="0" t="s">
        <v>609</v>
      </c>
      <c r="D2" s="0" t="s">
        <v>610</v>
      </c>
      <c r="E2" s="0" t="s">
        <v>611</v>
      </c>
      <c r="F2" s="0" t="s">
        <v>612</v>
      </c>
      <c r="G2" s="6" t="s">
        <v>36</v>
      </c>
      <c r="H2" s="7" t="s">
        <v>7</v>
      </c>
      <c r="J2" s="7" t="s">
        <v>58</v>
      </c>
      <c r="L2" s="7" t="s">
        <v>211</v>
      </c>
      <c r="M2" s="7" t="s">
        <v>613</v>
      </c>
    </row>
    <row r="3" customFormat="false" ht="17.15" hidden="false" customHeight="false" outlineLevel="0" collapsed="false">
      <c r="A3" s="0" t="s">
        <v>614</v>
      </c>
      <c r="B3" s="0" t="s">
        <v>608</v>
      </c>
      <c r="C3" s="0" t="s">
        <v>421</v>
      </c>
      <c r="D3" s="0" t="s">
        <v>615</v>
      </c>
      <c r="E3" s="0" t="s">
        <v>616</v>
      </c>
      <c r="F3" s="0" t="s">
        <v>617</v>
      </c>
      <c r="G3" s="8" t="s">
        <v>71</v>
      </c>
      <c r="H3" s="7" t="s">
        <v>7</v>
      </c>
      <c r="J3" s="7" t="s">
        <v>135</v>
      </c>
      <c r="L3" s="7" t="s">
        <v>211</v>
      </c>
      <c r="M3" s="7" t="s">
        <v>613</v>
      </c>
    </row>
    <row r="4" customFormat="false" ht="17.15" hidden="false" customHeight="false" outlineLevel="0" collapsed="false">
      <c r="A4" s="0" t="s">
        <v>618</v>
      </c>
      <c r="B4" s="0" t="s">
        <v>608</v>
      </c>
      <c r="C4" s="0" t="s">
        <v>619</v>
      </c>
      <c r="D4" s="0" t="s">
        <v>620</v>
      </c>
      <c r="E4" s="0" t="s">
        <v>621</v>
      </c>
      <c r="F4" s="0" t="s">
        <v>622</v>
      </c>
      <c r="G4" s="8" t="s">
        <v>71</v>
      </c>
      <c r="H4" s="7" t="s">
        <v>7</v>
      </c>
      <c r="J4" s="7" t="s">
        <v>65</v>
      </c>
      <c r="L4" s="7" t="s">
        <v>211</v>
      </c>
      <c r="M4" s="7" t="s">
        <v>613</v>
      </c>
    </row>
    <row r="5" customFormat="false" ht="17.15" hidden="false" customHeight="false" outlineLevel="0" collapsed="false">
      <c r="A5" s="0" t="s">
        <v>623</v>
      </c>
      <c r="B5" s="0" t="s">
        <v>624</v>
      </c>
      <c r="C5" s="0" t="s">
        <v>625</v>
      </c>
      <c r="D5" s="0" t="s">
        <v>626</v>
      </c>
      <c r="E5" s="0" t="s">
        <v>627</v>
      </c>
      <c r="F5" s="5" t="s">
        <v>628</v>
      </c>
      <c r="G5" s="6" t="s">
        <v>36</v>
      </c>
      <c r="H5" s="7" t="s">
        <v>7</v>
      </c>
      <c r="J5" s="7" t="s">
        <v>65</v>
      </c>
      <c r="L5" s="7" t="s">
        <v>211</v>
      </c>
    </row>
    <row r="6" customFormat="false" ht="17.15" hidden="false" customHeight="false" outlineLevel="0" collapsed="false">
      <c r="A6" s="0" t="s">
        <v>629</v>
      </c>
      <c r="B6" s="0" t="s">
        <v>624</v>
      </c>
      <c r="C6" s="0" t="s">
        <v>630</v>
      </c>
      <c r="D6" s="0" t="s">
        <v>630</v>
      </c>
      <c r="E6" s="0" t="s">
        <v>631</v>
      </c>
      <c r="F6" s="5" t="s">
        <v>632</v>
      </c>
      <c r="G6" s="8" t="s">
        <v>71</v>
      </c>
      <c r="H6" s="7" t="s">
        <v>7</v>
      </c>
      <c r="J6" s="7" t="s">
        <v>58</v>
      </c>
      <c r="L6" s="7" t="s">
        <v>211</v>
      </c>
      <c r="M6" s="5" t="s">
        <v>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5"/>
    <col collapsed="false" customWidth="true" hidden="false" outlineLevel="0" max="5" min="5" style="0" width="25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1" min="10" style="0" width="15"/>
    <col collapsed="false" customWidth="true" hidden="false" outlineLevel="0" max="12" min="12" style="0" width="30"/>
  </cols>
  <sheetData>
    <row r="1" customFormat="false" ht="34.5" hidden="false" customHeight="true" outlineLevel="0" collapsed="false">
      <c r="A1" s="1" t="s">
        <v>634</v>
      </c>
      <c r="B1" s="1" t="s">
        <v>25</v>
      </c>
      <c r="C1" s="1" t="s">
        <v>635</v>
      </c>
      <c r="D1" s="1" t="s">
        <v>22</v>
      </c>
      <c r="E1" s="1" t="s">
        <v>20</v>
      </c>
      <c r="F1" s="1" t="s">
        <v>23</v>
      </c>
      <c r="G1" s="1" t="s">
        <v>28</v>
      </c>
      <c r="H1" s="1" t="s">
        <v>636</v>
      </c>
      <c r="I1" s="1" t="s">
        <v>637</v>
      </c>
      <c r="J1" s="1" t="s">
        <v>27</v>
      </c>
      <c r="K1" s="1" t="s">
        <v>26</v>
      </c>
      <c r="L1" s="1" t="s">
        <v>9</v>
      </c>
    </row>
    <row r="2" customFormat="false" ht="17.15" hidden="false" customHeight="false" outlineLevel="0" collapsed="false">
      <c r="A2" s="10" t="s">
        <v>638</v>
      </c>
      <c r="B2" s="7" t="s">
        <v>639</v>
      </c>
      <c r="C2" s="7" t="s">
        <v>31</v>
      </c>
      <c r="D2" s="7" t="s">
        <v>33</v>
      </c>
      <c r="E2" s="7" t="s">
        <v>490</v>
      </c>
      <c r="F2" s="7" t="s">
        <v>640</v>
      </c>
      <c r="G2" s="7" t="s">
        <v>37</v>
      </c>
      <c r="I2" s="7" t="s">
        <v>641</v>
      </c>
      <c r="K2" s="7" t="s">
        <v>7</v>
      </c>
      <c r="L2" s="7" t="s">
        <v>39</v>
      </c>
    </row>
    <row r="3" customFormat="false" ht="17.15" hidden="false" customHeight="false" outlineLevel="0" collapsed="false">
      <c r="A3" s="10" t="s">
        <v>638</v>
      </c>
      <c r="B3" s="7" t="s">
        <v>639</v>
      </c>
      <c r="C3" s="7" t="s">
        <v>40</v>
      </c>
      <c r="D3" s="7" t="s">
        <v>42</v>
      </c>
      <c r="E3" s="7" t="s">
        <v>490</v>
      </c>
      <c r="F3" s="7" t="s">
        <v>642</v>
      </c>
      <c r="G3" s="7" t="s">
        <v>45</v>
      </c>
      <c r="H3" s="7" t="s">
        <v>31</v>
      </c>
      <c r="I3" s="7" t="s">
        <v>641</v>
      </c>
      <c r="K3" s="7" t="s">
        <v>7</v>
      </c>
      <c r="L3" s="7" t="s">
        <v>39</v>
      </c>
    </row>
    <row r="4" customFormat="false" ht="17.15" hidden="false" customHeight="false" outlineLevel="0" collapsed="false">
      <c r="A4" s="10" t="s">
        <v>638</v>
      </c>
      <c r="B4" s="7" t="s">
        <v>639</v>
      </c>
      <c r="C4" s="7" t="s">
        <v>327</v>
      </c>
      <c r="D4" s="7" t="s">
        <v>329</v>
      </c>
      <c r="E4" s="7" t="s">
        <v>643</v>
      </c>
      <c r="F4" s="7" t="s">
        <v>644</v>
      </c>
      <c r="G4" s="7" t="s">
        <v>45</v>
      </c>
      <c r="H4" s="7" t="s">
        <v>40</v>
      </c>
      <c r="I4" s="7" t="s">
        <v>645</v>
      </c>
      <c r="K4" s="7" t="s">
        <v>7</v>
      </c>
    </row>
    <row r="5" customFormat="false" ht="17.15" hidden="false" customHeight="false" outlineLevel="0" collapsed="false">
      <c r="A5" s="10" t="s">
        <v>638</v>
      </c>
      <c r="B5" s="7" t="s">
        <v>639</v>
      </c>
      <c r="C5" s="7" t="s">
        <v>305</v>
      </c>
      <c r="D5" s="7" t="s">
        <v>307</v>
      </c>
      <c r="E5" s="7" t="s">
        <v>643</v>
      </c>
      <c r="F5" s="7" t="s">
        <v>646</v>
      </c>
      <c r="G5" s="7" t="s">
        <v>45</v>
      </c>
      <c r="H5" s="7" t="s">
        <v>647</v>
      </c>
      <c r="I5" s="7" t="s">
        <v>645</v>
      </c>
      <c r="K5" s="7" t="s">
        <v>7</v>
      </c>
    </row>
    <row r="6" customFormat="false" ht="17.15" hidden="false" customHeight="false" outlineLevel="0" collapsed="false">
      <c r="A6" s="10" t="s">
        <v>638</v>
      </c>
      <c r="B6" s="7" t="s">
        <v>639</v>
      </c>
      <c r="C6" s="7" t="s">
        <v>91</v>
      </c>
      <c r="D6" s="7" t="s">
        <v>94</v>
      </c>
      <c r="E6" s="7" t="s">
        <v>490</v>
      </c>
      <c r="F6" s="7" t="s">
        <v>648</v>
      </c>
      <c r="G6" s="7" t="s">
        <v>84</v>
      </c>
      <c r="I6" s="7" t="s">
        <v>645</v>
      </c>
      <c r="K6" s="7" t="s">
        <v>7</v>
      </c>
    </row>
    <row r="7" customFormat="false" ht="17.15" hidden="false" customHeight="false" outlineLevel="0" collapsed="false">
      <c r="A7" s="10" t="s">
        <v>638</v>
      </c>
      <c r="B7" s="7" t="s">
        <v>36</v>
      </c>
      <c r="C7" s="7" t="s">
        <v>383</v>
      </c>
      <c r="D7" s="7" t="s">
        <v>386</v>
      </c>
      <c r="E7" s="7" t="s">
        <v>649</v>
      </c>
      <c r="F7" s="7" t="s">
        <v>650</v>
      </c>
      <c r="G7" s="7" t="s">
        <v>163</v>
      </c>
      <c r="I7" s="7" t="s">
        <v>651</v>
      </c>
      <c r="K7" s="7" t="s">
        <v>7</v>
      </c>
    </row>
    <row r="8" customFormat="false" ht="17.15" hidden="false" customHeight="false" outlineLevel="0" collapsed="false">
      <c r="A8" s="10" t="s">
        <v>638</v>
      </c>
      <c r="B8" s="7" t="s">
        <v>36</v>
      </c>
      <c r="C8" s="7" t="s">
        <v>389</v>
      </c>
      <c r="D8" s="7" t="s">
        <v>391</v>
      </c>
      <c r="E8" s="7" t="s">
        <v>649</v>
      </c>
      <c r="F8" s="7" t="s">
        <v>652</v>
      </c>
      <c r="G8" s="7" t="s">
        <v>37</v>
      </c>
      <c r="H8" s="7" t="s">
        <v>383</v>
      </c>
      <c r="I8" s="7" t="s">
        <v>653</v>
      </c>
      <c r="K8" s="7" t="s">
        <v>7</v>
      </c>
      <c r="L8" s="5" t="s">
        <v>654</v>
      </c>
    </row>
    <row r="10" customFormat="false" ht="17.15" hidden="false" customHeight="false" outlineLevel="0" collapsed="false">
      <c r="A10" s="11" t="s">
        <v>655</v>
      </c>
      <c r="B10" s="7" t="s">
        <v>639</v>
      </c>
      <c r="C10" s="7" t="s">
        <v>119</v>
      </c>
      <c r="D10" s="7" t="s">
        <v>122</v>
      </c>
      <c r="E10" s="7" t="s">
        <v>385</v>
      </c>
      <c r="F10" s="7" t="s">
        <v>656</v>
      </c>
      <c r="G10" s="7" t="s">
        <v>58</v>
      </c>
      <c r="H10" s="7" t="s">
        <v>52</v>
      </c>
      <c r="I10" s="7" t="s">
        <v>657</v>
      </c>
      <c r="K10" s="7" t="s">
        <v>7</v>
      </c>
    </row>
    <row r="11" customFormat="false" ht="15" hidden="false" customHeight="false" outlineLevel="0" collapsed="false">
      <c r="A11" s="11" t="s">
        <v>655</v>
      </c>
      <c r="B11" s="7" t="s">
        <v>639</v>
      </c>
      <c r="C11" s="7" t="s">
        <v>125</v>
      </c>
      <c r="D11" s="7" t="s">
        <v>127</v>
      </c>
      <c r="E11" s="7" t="s">
        <v>385</v>
      </c>
      <c r="F11" s="5" t="s">
        <v>658</v>
      </c>
      <c r="G11" s="7" t="s">
        <v>65</v>
      </c>
      <c r="I11" s="7" t="s">
        <v>657</v>
      </c>
      <c r="K11" s="7" t="s">
        <v>7</v>
      </c>
    </row>
    <row r="12" customFormat="false" ht="17.15" hidden="false" customHeight="false" outlineLevel="0" collapsed="false">
      <c r="A12" s="11" t="s">
        <v>655</v>
      </c>
      <c r="B12" s="7" t="s">
        <v>639</v>
      </c>
      <c r="C12" s="7" t="s">
        <v>136</v>
      </c>
      <c r="D12" s="7" t="s">
        <v>138</v>
      </c>
      <c r="E12" s="7" t="s">
        <v>385</v>
      </c>
      <c r="F12" s="7" t="s">
        <v>659</v>
      </c>
      <c r="G12" s="7" t="s">
        <v>141</v>
      </c>
      <c r="H12" s="7" t="s">
        <v>60</v>
      </c>
      <c r="I12" s="7" t="s">
        <v>657</v>
      </c>
      <c r="K12" s="7" t="s">
        <v>7</v>
      </c>
    </row>
    <row r="13" customFormat="false" ht="17.15" hidden="false" customHeight="false" outlineLevel="0" collapsed="false">
      <c r="A13" s="11" t="s">
        <v>655</v>
      </c>
      <c r="B13" s="7" t="s">
        <v>639</v>
      </c>
      <c r="C13" s="7" t="s">
        <v>142</v>
      </c>
      <c r="D13" s="7" t="s">
        <v>144</v>
      </c>
      <c r="E13" s="7" t="s">
        <v>385</v>
      </c>
      <c r="F13" s="7" t="s">
        <v>660</v>
      </c>
      <c r="G13" s="7" t="s">
        <v>135</v>
      </c>
      <c r="H13" s="7" t="s">
        <v>60</v>
      </c>
      <c r="I13" s="7" t="s">
        <v>657</v>
      </c>
      <c r="K13" s="7" t="s">
        <v>7</v>
      </c>
    </row>
    <row r="14" customFormat="false" ht="17.15" hidden="false" customHeight="false" outlineLevel="0" collapsed="false">
      <c r="A14" s="11" t="s">
        <v>655</v>
      </c>
      <c r="B14" s="7" t="s">
        <v>639</v>
      </c>
      <c r="C14" s="7" t="s">
        <v>52</v>
      </c>
      <c r="D14" s="7" t="s">
        <v>55</v>
      </c>
      <c r="E14" s="7" t="s">
        <v>490</v>
      </c>
      <c r="F14" s="7" t="s">
        <v>661</v>
      </c>
      <c r="G14" s="7" t="s">
        <v>58</v>
      </c>
      <c r="I14" s="7" t="s">
        <v>657</v>
      </c>
      <c r="K14" s="7" t="s">
        <v>7</v>
      </c>
    </row>
    <row r="15" customFormat="false" ht="17.15" hidden="false" customHeight="false" outlineLevel="0" collapsed="false">
      <c r="A15" s="11" t="s">
        <v>655</v>
      </c>
      <c r="B15" s="7" t="s">
        <v>639</v>
      </c>
      <c r="C15" s="7" t="s">
        <v>60</v>
      </c>
      <c r="D15" s="7" t="s">
        <v>62</v>
      </c>
      <c r="E15" s="7" t="s">
        <v>490</v>
      </c>
      <c r="F15" s="7" t="s">
        <v>662</v>
      </c>
      <c r="G15" s="7" t="s">
        <v>65</v>
      </c>
      <c r="I15" s="7" t="s">
        <v>657</v>
      </c>
      <c r="K15" s="7" t="s">
        <v>7</v>
      </c>
    </row>
    <row r="16" customFormat="false" ht="17.15" hidden="false" customHeight="false" outlineLevel="0" collapsed="false">
      <c r="A16" s="11" t="s">
        <v>655</v>
      </c>
      <c r="B16" s="7" t="s">
        <v>639</v>
      </c>
      <c r="C16" s="7" t="s">
        <v>332</v>
      </c>
      <c r="D16" s="7" t="s">
        <v>334</v>
      </c>
      <c r="E16" s="7" t="s">
        <v>643</v>
      </c>
      <c r="F16" s="7" t="s">
        <v>663</v>
      </c>
      <c r="G16" s="7" t="s">
        <v>51</v>
      </c>
      <c r="H16" s="7" t="s">
        <v>91</v>
      </c>
      <c r="I16" s="7" t="s">
        <v>657</v>
      </c>
      <c r="K16" s="7" t="s">
        <v>7</v>
      </c>
    </row>
    <row r="17" customFormat="false" ht="17.15" hidden="false" customHeight="false" outlineLevel="0" collapsed="false">
      <c r="A17" s="11" t="s">
        <v>655</v>
      </c>
      <c r="B17" s="7" t="s">
        <v>36</v>
      </c>
      <c r="C17" s="7" t="s">
        <v>310</v>
      </c>
      <c r="D17" s="7" t="s">
        <v>312</v>
      </c>
      <c r="E17" s="7" t="s">
        <v>643</v>
      </c>
      <c r="F17" s="7" t="s">
        <v>664</v>
      </c>
      <c r="G17" s="7" t="s">
        <v>51</v>
      </c>
      <c r="H17" s="7" t="s">
        <v>665</v>
      </c>
      <c r="I17" s="7" t="s">
        <v>666</v>
      </c>
      <c r="K17" s="7" t="s">
        <v>7</v>
      </c>
    </row>
    <row r="18" customFormat="false" ht="15" hidden="false" customHeight="false" outlineLevel="0" collapsed="false">
      <c r="A18" s="11" t="s">
        <v>655</v>
      </c>
      <c r="B18" s="7" t="s">
        <v>36</v>
      </c>
      <c r="C18" s="7" t="s">
        <v>457</v>
      </c>
      <c r="D18" s="7" t="s">
        <v>460</v>
      </c>
      <c r="E18" s="7" t="s">
        <v>667</v>
      </c>
      <c r="F18" s="5" t="s">
        <v>668</v>
      </c>
      <c r="G18" s="7" t="s">
        <v>58</v>
      </c>
      <c r="I18" s="7" t="s">
        <v>657</v>
      </c>
      <c r="K18" s="7" t="s">
        <v>7</v>
      </c>
    </row>
    <row r="19" customFormat="false" ht="15" hidden="false" customHeight="false" outlineLevel="0" collapsed="false">
      <c r="A19" s="11" t="s">
        <v>655</v>
      </c>
      <c r="B19" s="7" t="s">
        <v>36</v>
      </c>
      <c r="C19" s="7" t="s">
        <v>494</v>
      </c>
      <c r="D19" s="7" t="s">
        <v>497</v>
      </c>
      <c r="E19" s="7" t="s">
        <v>667</v>
      </c>
      <c r="F19" s="5" t="s">
        <v>669</v>
      </c>
      <c r="G19" s="7" t="s">
        <v>58</v>
      </c>
      <c r="I19" s="7" t="s">
        <v>657</v>
      </c>
      <c r="K19" s="7" t="s">
        <v>7</v>
      </c>
    </row>
    <row r="21" customFormat="false" ht="17.15" hidden="false" customHeight="false" outlineLevel="0" collapsed="false">
      <c r="A21" s="12" t="s">
        <v>670</v>
      </c>
      <c r="B21" s="7" t="s">
        <v>36</v>
      </c>
      <c r="C21" s="7" t="s">
        <v>66</v>
      </c>
      <c r="D21" s="7" t="s">
        <v>68</v>
      </c>
      <c r="E21" s="7" t="s">
        <v>490</v>
      </c>
      <c r="F21" s="7" t="s">
        <v>671</v>
      </c>
      <c r="G21" s="7" t="s">
        <v>58</v>
      </c>
      <c r="I21" s="7" t="s">
        <v>672</v>
      </c>
      <c r="K21" s="7" t="s">
        <v>7</v>
      </c>
    </row>
    <row r="22" customFormat="false" ht="17.15" hidden="false" customHeight="false" outlineLevel="0" collapsed="false">
      <c r="A22" s="12" t="s">
        <v>670</v>
      </c>
      <c r="B22" s="7" t="s">
        <v>36</v>
      </c>
      <c r="C22" s="7" t="s">
        <v>233</v>
      </c>
      <c r="D22" s="7" t="s">
        <v>235</v>
      </c>
      <c r="E22" s="7" t="s">
        <v>385</v>
      </c>
      <c r="F22" s="7" t="s">
        <v>673</v>
      </c>
      <c r="G22" s="7" t="s">
        <v>141</v>
      </c>
      <c r="H22" s="7" t="s">
        <v>66</v>
      </c>
      <c r="I22" s="7" t="s">
        <v>672</v>
      </c>
      <c r="K22" s="7" t="s">
        <v>7</v>
      </c>
    </row>
    <row r="23" customFormat="false" ht="17.15" hidden="false" customHeight="false" outlineLevel="0" collapsed="false">
      <c r="A23" s="12" t="s">
        <v>670</v>
      </c>
      <c r="B23" s="7" t="s">
        <v>36</v>
      </c>
      <c r="C23" s="7" t="s">
        <v>238</v>
      </c>
      <c r="D23" s="7" t="s">
        <v>239</v>
      </c>
      <c r="E23" s="7" t="s">
        <v>385</v>
      </c>
      <c r="F23" s="7" t="s">
        <v>674</v>
      </c>
      <c r="G23" s="7" t="s">
        <v>135</v>
      </c>
      <c r="H23" s="7" t="s">
        <v>66</v>
      </c>
      <c r="I23" s="7" t="s">
        <v>672</v>
      </c>
      <c r="K23" s="7" t="s">
        <v>7</v>
      </c>
    </row>
    <row r="24" customFormat="false" ht="17.15" hidden="false" customHeight="false" outlineLevel="0" collapsed="false">
      <c r="A24" s="12" t="s">
        <v>670</v>
      </c>
      <c r="B24" s="7" t="s">
        <v>36</v>
      </c>
      <c r="C24" s="7" t="s">
        <v>73</v>
      </c>
      <c r="D24" s="7" t="s">
        <v>76</v>
      </c>
      <c r="E24" s="7" t="s">
        <v>490</v>
      </c>
      <c r="F24" s="7" t="s">
        <v>675</v>
      </c>
      <c r="G24" s="7" t="s">
        <v>51</v>
      </c>
      <c r="H24" s="7" t="s">
        <v>31</v>
      </c>
      <c r="I24" s="7" t="s">
        <v>676</v>
      </c>
      <c r="K24" s="7" t="s">
        <v>7</v>
      </c>
    </row>
    <row r="25" customFormat="false" ht="17.15" hidden="false" customHeight="false" outlineLevel="0" collapsed="false">
      <c r="A25" s="12" t="s">
        <v>670</v>
      </c>
      <c r="B25" s="7" t="s">
        <v>71</v>
      </c>
      <c r="C25" s="7" t="s">
        <v>79</v>
      </c>
      <c r="D25" s="7" t="s">
        <v>81</v>
      </c>
      <c r="E25" s="7" t="s">
        <v>490</v>
      </c>
      <c r="F25" s="7" t="s">
        <v>677</v>
      </c>
      <c r="G25" s="7" t="s">
        <v>84</v>
      </c>
      <c r="I25" s="7" t="s">
        <v>678</v>
      </c>
      <c r="K25" s="7" t="s">
        <v>7</v>
      </c>
    </row>
    <row r="26" customFormat="false" ht="17.15" hidden="false" customHeight="false" outlineLevel="0" collapsed="false">
      <c r="A26" s="12" t="s">
        <v>670</v>
      </c>
      <c r="B26" s="7" t="s">
        <v>71</v>
      </c>
      <c r="C26" s="7" t="s">
        <v>295</v>
      </c>
      <c r="D26" s="7" t="s">
        <v>298</v>
      </c>
      <c r="E26" s="7" t="s">
        <v>643</v>
      </c>
      <c r="F26" s="7" t="s">
        <v>679</v>
      </c>
      <c r="G26" s="7" t="s">
        <v>51</v>
      </c>
      <c r="H26" s="7" t="s">
        <v>680</v>
      </c>
      <c r="I26" s="7" t="s">
        <v>676</v>
      </c>
      <c r="K26" s="7" t="s">
        <v>7</v>
      </c>
    </row>
    <row r="27" customFormat="false" ht="17.15" hidden="false" customHeight="false" outlineLevel="0" collapsed="false">
      <c r="A27" s="12" t="s">
        <v>670</v>
      </c>
      <c r="B27" s="7" t="s">
        <v>71</v>
      </c>
      <c r="C27" s="7" t="s">
        <v>471</v>
      </c>
      <c r="D27" s="7" t="s">
        <v>473</v>
      </c>
      <c r="E27" s="7" t="s">
        <v>667</v>
      </c>
      <c r="F27" s="7" t="s">
        <v>681</v>
      </c>
      <c r="G27" s="7" t="s">
        <v>65</v>
      </c>
      <c r="H27" s="7" t="s">
        <v>31</v>
      </c>
      <c r="I27" s="7" t="s">
        <v>678</v>
      </c>
      <c r="K27" s="7" t="s">
        <v>7</v>
      </c>
    </row>
    <row r="29" customFormat="false" ht="17.15" hidden="false" customHeight="false" outlineLevel="0" collapsed="false">
      <c r="A29" s="0" t="s">
        <v>682</v>
      </c>
      <c r="B29" s="0" t="s">
        <v>71</v>
      </c>
      <c r="C29" s="0" t="s">
        <v>413</v>
      </c>
      <c r="D29" s="0" t="s">
        <v>416</v>
      </c>
      <c r="E29" s="0" t="s">
        <v>649</v>
      </c>
      <c r="F29" s="0" t="s">
        <v>683</v>
      </c>
      <c r="G29" s="0" t="s">
        <v>37</v>
      </c>
      <c r="I29" s="0" t="s">
        <v>684</v>
      </c>
      <c r="K29" s="0" t="s">
        <v>7</v>
      </c>
      <c r="L29" s="5" t="s">
        <v>419</v>
      </c>
    </row>
    <row r="30" customFormat="false" ht="17.15" hidden="false" customHeight="false" outlineLevel="0" collapsed="false">
      <c r="A30" s="0" t="s">
        <v>682</v>
      </c>
      <c r="B30" s="0" t="s">
        <v>71</v>
      </c>
      <c r="C30" s="0" t="s">
        <v>435</v>
      </c>
      <c r="D30" s="0" t="s">
        <v>437</v>
      </c>
      <c r="E30" s="0" t="s">
        <v>649</v>
      </c>
      <c r="F30" s="0" t="s">
        <v>685</v>
      </c>
      <c r="G30" s="0" t="s">
        <v>51</v>
      </c>
      <c r="I30" s="0" t="s">
        <v>684</v>
      </c>
      <c r="K30" s="0" t="s">
        <v>7</v>
      </c>
      <c r="L30" s="5" t="s">
        <v>419</v>
      </c>
    </row>
    <row r="31" customFormat="false" ht="15" hidden="false" customHeight="false" outlineLevel="0" collapsed="false">
      <c r="A31" s="0" t="s">
        <v>682</v>
      </c>
      <c r="B31" s="0" t="s">
        <v>320</v>
      </c>
      <c r="C31" s="0" t="s">
        <v>440</v>
      </c>
      <c r="D31" s="0" t="s">
        <v>443</v>
      </c>
      <c r="E31" s="0" t="s">
        <v>649</v>
      </c>
      <c r="F31" s="5" t="s">
        <v>686</v>
      </c>
      <c r="G31" s="0" t="s">
        <v>45</v>
      </c>
      <c r="I31" s="0" t="s">
        <v>687</v>
      </c>
      <c r="K31" s="0" t="s">
        <v>7</v>
      </c>
      <c r="L31" s="5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2025-11-23T00:32:01Z</dcterms:created>
  <dc:creator>openpyxl</dc:creator>
  <dc:description/>
  <dc:language>en-US</dc:language>
  <cp:lastModifiedBy/>
  <dcterms:modified xsi:type="dcterms:W3CDTF">2025-11-23T00:35:50Z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